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892C07DD-B352-4389-8244-DFB7001300D7}" xr6:coauthVersionLast="47" xr6:coauthVersionMax="47" xr10:uidLastSave="{00000000-0000-0000-0000-000000000000}"/>
  <bookViews>
    <workbookView xWindow="-105" yWindow="10440" windowWidth="26010" windowHeight="10545" tabRatio="807" firstSheet="1" activeTab="5" xr2:uid="{007F6C41-9DB7-4987-BA43-6472C5402361}"/>
  </bookViews>
  <sheets>
    <sheet name="Hoja1" sheetId="1" state="hidden" r:id="rId1"/>
    <sheet name="Servicios" sheetId="2" r:id="rId2"/>
    <sheet name="Costo Fijos" sheetId="7" r:id="rId3"/>
    <sheet name="Gastos" sheetId="4" r:id="rId4"/>
    <sheet name="Ingreso" sheetId="5" r:id="rId5"/>
    <sheet name="Balance" sheetId="6" r:id="rId6"/>
    <sheet name="Costo de produccion" sheetId="9" r:id="rId7"/>
    <sheet name="Costo de produccion (2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0" l="1"/>
  <c r="I10" i="10"/>
  <c r="C19" i="10"/>
  <c r="D19" i="10" s="1"/>
  <c r="E19" i="10" s="1"/>
  <c r="F19" i="10" s="1"/>
  <c r="G19" i="10" s="1"/>
  <c r="G18" i="10"/>
  <c r="F18" i="10"/>
  <c r="G17" i="10"/>
  <c r="F17" i="10"/>
  <c r="G16" i="10"/>
  <c r="F16" i="10"/>
  <c r="G15" i="10"/>
  <c r="F15" i="10"/>
  <c r="D14" i="10"/>
  <c r="E14" i="10" s="1"/>
  <c r="F14" i="10" s="1"/>
  <c r="G14" i="10" s="1"/>
  <c r="C14" i="10"/>
  <c r="D13" i="10"/>
  <c r="E13" i="10" s="1"/>
  <c r="F13" i="10" s="1"/>
  <c r="G13" i="10" s="1"/>
  <c r="C13" i="10"/>
  <c r="D12" i="10"/>
  <c r="E12" i="10" s="1"/>
  <c r="F12" i="10" s="1"/>
  <c r="G12" i="10" s="1"/>
  <c r="C12" i="10"/>
  <c r="D11" i="10"/>
  <c r="E11" i="10" s="1"/>
  <c r="F11" i="10" s="1"/>
  <c r="G11" i="10" s="1"/>
  <c r="C11" i="10"/>
  <c r="D10" i="10"/>
  <c r="E10" i="10" s="1"/>
  <c r="C10" i="10"/>
  <c r="E9" i="10"/>
  <c r="C9" i="10"/>
  <c r="F9" i="10" s="1"/>
  <c r="G9" i="10" s="1"/>
  <c r="E8" i="10"/>
  <c r="F8" i="10" s="1"/>
  <c r="G8" i="10" s="1"/>
  <c r="C8" i="10"/>
  <c r="E7" i="10"/>
  <c r="F7" i="10" s="1"/>
  <c r="G7" i="10" s="1"/>
  <c r="C7" i="10"/>
  <c r="E6" i="10"/>
  <c r="F6" i="10" s="1"/>
  <c r="G6" i="10" s="1"/>
  <c r="C6" i="10"/>
  <c r="E5" i="10"/>
  <c r="F5" i="10" s="1"/>
  <c r="G5" i="10" s="1"/>
  <c r="C5" i="10"/>
  <c r="E4" i="10"/>
  <c r="F4" i="10" s="1"/>
  <c r="G4" i="10" s="1"/>
  <c r="C4" i="10"/>
  <c r="E3" i="10"/>
  <c r="F3" i="10" s="1"/>
  <c r="G3" i="10" s="1"/>
  <c r="C3" i="10"/>
  <c r="P17" i="9"/>
  <c r="J26" i="9"/>
  <c r="J25" i="9"/>
  <c r="J24" i="9"/>
  <c r="P14" i="9"/>
  <c r="O21" i="9"/>
  <c r="G21" i="9"/>
  <c r="N25" i="9"/>
  <c r="M25" i="9"/>
  <c r="P7" i="9"/>
  <c r="M5" i="6"/>
  <c r="W16" i="9"/>
  <c r="R14" i="9"/>
  <c r="S14" i="9" s="1"/>
  <c r="T14" i="9" s="1"/>
  <c r="U14" i="9" s="1"/>
  <c r="V14" i="9" s="1"/>
  <c r="W14" i="9" s="1"/>
  <c r="J19" i="9"/>
  <c r="K19" i="9" s="1"/>
  <c r="L19" i="9" s="1"/>
  <c r="M19" i="9" s="1"/>
  <c r="N19" i="9" s="1"/>
  <c r="O19" i="9" s="1"/>
  <c r="C19" i="9"/>
  <c r="D19" i="9" s="1"/>
  <c r="E19" i="9" s="1"/>
  <c r="F19" i="9" s="1"/>
  <c r="G19" i="9" s="1"/>
  <c r="V4" i="9"/>
  <c r="V3" i="9"/>
  <c r="U4" i="9"/>
  <c r="U3" i="9"/>
  <c r="S4" i="9"/>
  <c r="S3" i="9"/>
  <c r="W13" i="9"/>
  <c r="V13" i="9"/>
  <c r="W12" i="9"/>
  <c r="V12" i="9"/>
  <c r="W11" i="9"/>
  <c r="V11" i="9"/>
  <c r="W10" i="9"/>
  <c r="V10" i="9"/>
  <c r="T9" i="9"/>
  <c r="U9" i="9" s="1"/>
  <c r="V9" i="9" s="1"/>
  <c r="W9" i="9" s="1"/>
  <c r="S9" i="9"/>
  <c r="T8" i="9"/>
  <c r="U8" i="9" s="1"/>
  <c r="S8" i="9"/>
  <c r="T7" i="9"/>
  <c r="U7" i="9" s="1"/>
  <c r="V7" i="9" s="1"/>
  <c r="W7" i="9" s="1"/>
  <c r="S7" i="9"/>
  <c r="T6" i="9"/>
  <c r="U6" i="9" s="1"/>
  <c r="S6" i="9"/>
  <c r="U5" i="9"/>
  <c r="V5" i="9" s="1"/>
  <c r="W5" i="9" s="1"/>
  <c r="T5" i="9"/>
  <c r="S5" i="9"/>
  <c r="M8" i="9"/>
  <c r="N8" i="9"/>
  <c r="O8" i="9" s="1"/>
  <c r="M9" i="9"/>
  <c r="N9" i="9" s="1"/>
  <c r="O9" i="9" s="1"/>
  <c r="K9" i="9"/>
  <c r="K8" i="9"/>
  <c r="O18" i="9"/>
  <c r="N18" i="9"/>
  <c r="O17" i="9"/>
  <c r="N17" i="9"/>
  <c r="O16" i="9"/>
  <c r="N16" i="9"/>
  <c r="O15" i="9"/>
  <c r="N15" i="9"/>
  <c r="L14" i="9"/>
  <c r="M14" i="9" s="1"/>
  <c r="N14" i="9" s="1"/>
  <c r="O14" i="9" s="1"/>
  <c r="K14" i="9"/>
  <c r="L13" i="9"/>
  <c r="M13" i="9" s="1"/>
  <c r="K13" i="9"/>
  <c r="M12" i="9"/>
  <c r="N12" i="9" s="1"/>
  <c r="O12" i="9" s="1"/>
  <c r="L12" i="9"/>
  <c r="K12" i="9"/>
  <c r="L11" i="9"/>
  <c r="M11" i="9" s="1"/>
  <c r="K11" i="9"/>
  <c r="L10" i="9"/>
  <c r="M10" i="9" s="1"/>
  <c r="K10" i="9"/>
  <c r="M7" i="9"/>
  <c r="K7" i="9"/>
  <c r="M6" i="9"/>
  <c r="K6" i="9"/>
  <c r="M5" i="9"/>
  <c r="K5" i="9"/>
  <c r="M4" i="9"/>
  <c r="K4" i="9"/>
  <c r="M3" i="9"/>
  <c r="K3" i="9"/>
  <c r="C3" i="9"/>
  <c r="F18" i="9"/>
  <c r="F16" i="9"/>
  <c r="F17" i="9"/>
  <c r="F15" i="9"/>
  <c r="G4" i="9"/>
  <c r="G18" i="9"/>
  <c r="G17" i="9"/>
  <c r="G16" i="9"/>
  <c r="G15" i="9"/>
  <c r="E12" i="9"/>
  <c r="F12" i="9" s="1"/>
  <c r="G12" i="9" s="1"/>
  <c r="D10" i="9"/>
  <c r="E10" i="9" s="1"/>
  <c r="F10" i="9" s="1"/>
  <c r="G10" i="9" s="1"/>
  <c r="C14" i="9"/>
  <c r="C13" i="9"/>
  <c r="C12" i="9"/>
  <c r="C11" i="9"/>
  <c r="C10" i="9"/>
  <c r="D11" i="9"/>
  <c r="E11" i="9" s="1"/>
  <c r="F11" i="9" s="1"/>
  <c r="G11" i="9" s="1"/>
  <c r="D14" i="9"/>
  <c r="E14" i="9" s="1"/>
  <c r="F14" i="9" s="1"/>
  <c r="G14" i="9" s="1"/>
  <c r="E13" i="9"/>
  <c r="F13" i="9" s="1"/>
  <c r="G13" i="9" s="1"/>
  <c r="D13" i="9"/>
  <c r="D12" i="9"/>
  <c r="E9" i="9"/>
  <c r="F9" i="9" s="1"/>
  <c r="G9" i="9" s="1"/>
  <c r="E8" i="9"/>
  <c r="C9" i="9"/>
  <c r="C8" i="9"/>
  <c r="F4" i="9"/>
  <c r="C7" i="9"/>
  <c r="E6" i="9"/>
  <c r="C6" i="9"/>
  <c r="F6" i="9" s="1"/>
  <c r="G6" i="9" s="1"/>
  <c r="C5" i="9"/>
  <c r="C4" i="9"/>
  <c r="E7" i="9"/>
  <c r="F7" i="9" s="1"/>
  <c r="G7" i="9" s="1"/>
  <c r="E5" i="9"/>
  <c r="F5" i="9" s="1"/>
  <c r="G5" i="9" s="1"/>
  <c r="E4" i="9"/>
  <c r="E3" i="9"/>
  <c r="F3" i="9" s="1"/>
  <c r="G3" i="9" s="1"/>
  <c r="B10" i="6"/>
  <c r="B8" i="6"/>
  <c r="B9" i="6"/>
  <c r="K29" i="4"/>
  <c r="M8" i="6"/>
  <c r="L8" i="6"/>
  <c r="K8" i="6"/>
  <c r="J28" i="4"/>
  <c r="F16" i="2"/>
  <c r="C16" i="2"/>
  <c r="D17" i="2" s="1"/>
  <c r="F17" i="2" s="1"/>
  <c r="J15" i="2"/>
  <c r="D15" i="2"/>
  <c r="F14" i="2"/>
  <c r="C14" i="2"/>
  <c r="F15" i="2" s="1"/>
  <c r="E28" i="4"/>
  <c r="F28" i="4"/>
  <c r="E24" i="4"/>
  <c r="E14" i="4"/>
  <c r="D3" i="4"/>
  <c r="D2" i="4"/>
  <c r="D28" i="4" s="1"/>
  <c r="B29" i="5"/>
  <c r="C3" i="6" s="1"/>
  <c r="C29" i="5"/>
  <c r="D29" i="5"/>
  <c r="E3" i="6" s="1"/>
  <c r="E29" i="5"/>
  <c r="F3" i="6" s="1"/>
  <c r="F29" i="5"/>
  <c r="G3" i="6" s="1"/>
  <c r="G29" i="5"/>
  <c r="H29" i="5"/>
  <c r="I3" i="6" s="1"/>
  <c r="I29" i="5"/>
  <c r="J3" i="6" s="1"/>
  <c r="J29" i="5"/>
  <c r="K3" i="6" s="1"/>
  <c r="K29" i="5"/>
  <c r="L3" i="6" s="1"/>
  <c r="L29" i="5"/>
  <c r="M3" i="6" s="1"/>
  <c r="M29" i="5"/>
  <c r="N29" i="5"/>
  <c r="O29" i="5"/>
  <c r="A29" i="5"/>
  <c r="B3" i="6" s="1"/>
  <c r="B23" i="4"/>
  <c r="B28" i="4" s="1"/>
  <c r="B3" i="4"/>
  <c r="A11" i="4"/>
  <c r="A10" i="4"/>
  <c r="A9" i="4"/>
  <c r="A8" i="4"/>
  <c r="A7" i="4"/>
  <c r="C28" i="4"/>
  <c r="G28" i="4"/>
  <c r="G31" i="4" s="1"/>
  <c r="H28" i="4"/>
  <c r="I28" i="4"/>
  <c r="K28" i="4"/>
  <c r="L28" i="4"/>
  <c r="A4" i="4"/>
  <c r="A2" i="4"/>
  <c r="C29" i="4"/>
  <c r="C31" i="4" s="1"/>
  <c r="B29" i="4"/>
  <c r="A29" i="4"/>
  <c r="F29" i="4"/>
  <c r="E29" i="4"/>
  <c r="D29" i="4"/>
  <c r="L29" i="4"/>
  <c r="J29" i="4"/>
  <c r="I29" i="4"/>
  <c r="H29" i="4"/>
  <c r="G29" i="4"/>
  <c r="H3" i="6"/>
  <c r="B5" i="7"/>
  <c r="F12" i="2"/>
  <c r="C12" i="2"/>
  <c r="D13" i="2" s="1"/>
  <c r="F13" i="2" s="1"/>
  <c r="F6" i="2"/>
  <c r="C6" i="2"/>
  <c r="D7" i="2" s="1"/>
  <c r="F7" i="2" s="1"/>
  <c r="D4" i="2"/>
  <c r="F4" i="2" s="1"/>
  <c r="G4" i="2" s="1"/>
  <c r="I4" i="2" s="1"/>
  <c r="J5" i="2" s="1"/>
  <c r="C4" i="2"/>
  <c r="D5" i="2" s="1"/>
  <c r="F5" i="2" s="1"/>
  <c r="F2" i="2"/>
  <c r="C2" i="2"/>
  <c r="D3" i="2" s="1"/>
  <c r="F3" i="2" s="1"/>
  <c r="G2" i="2" s="1"/>
  <c r="I2" i="2" s="1"/>
  <c r="J3" i="2" s="1"/>
  <c r="F10" i="10" l="1"/>
  <c r="G20" i="10" s="1"/>
  <c r="G21" i="10" s="1"/>
  <c r="G22" i="10" s="1"/>
  <c r="W4" i="9"/>
  <c r="W3" i="9"/>
  <c r="N5" i="9"/>
  <c r="O5" i="9" s="1"/>
  <c r="N11" i="9"/>
  <c r="O11" i="9" s="1"/>
  <c r="F8" i="9"/>
  <c r="G8" i="9" s="1"/>
  <c r="G20" i="9" s="1"/>
  <c r="G22" i="9" s="1"/>
  <c r="N13" i="9"/>
  <c r="O13" i="9" s="1"/>
  <c r="V6" i="9"/>
  <c r="W6" i="9" s="1"/>
  <c r="V8" i="9"/>
  <c r="W8" i="9" s="1"/>
  <c r="N3" i="9"/>
  <c r="O3" i="9" s="1"/>
  <c r="O20" i="9" s="1"/>
  <c r="O22" i="9" s="1"/>
  <c r="N7" i="9"/>
  <c r="O7" i="9" s="1"/>
  <c r="N4" i="9"/>
  <c r="O4" i="9" s="1"/>
  <c r="N6" i="9"/>
  <c r="O6" i="9" s="1"/>
  <c r="N10" i="9"/>
  <c r="O10" i="9" s="1"/>
  <c r="B31" i="4"/>
  <c r="C2" i="6" s="1"/>
  <c r="C5" i="6" s="1"/>
  <c r="G16" i="2"/>
  <c r="I16" i="2" s="1"/>
  <c r="J17" i="2" s="1"/>
  <c r="G14" i="2"/>
  <c r="I14" i="2" s="1"/>
  <c r="A28" i="4"/>
  <c r="A31" i="4" s="1"/>
  <c r="B2" i="6" s="1"/>
  <c r="B5" i="6" s="1"/>
  <c r="H2" i="6"/>
  <c r="F31" i="4"/>
  <c r="G2" i="6" s="1"/>
  <c r="E31" i="4"/>
  <c r="F2" i="6" s="1"/>
  <c r="D31" i="4"/>
  <c r="E2" i="6" s="1"/>
  <c r="L31" i="4"/>
  <c r="M2" i="6" s="1"/>
  <c r="M4" i="6" s="1"/>
  <c r="I31" i="4"/>
  <c r="J2" i="6" s="1"/>
  <c r="H31" i="4"/>
  <c r="I2" i="6" s="1"/>
  <c r="K31" i="4"/>
  <c r="L2" i="6" s="1"/>
  <c r="J31" i="4"/>
  <c r="K2" i="6" s="1"/>
  <c r="K4" i="6" s="1"/>
  <c r="G12" i="2"/>
  <c r="I12" i="2" s="1"/>
  <c r="J13" i="2" s="1"/>
  <c r="G6" i="2"/>
  <c r="I6" i="2" s="1"/>
  <c r="J7" i="2" s="1"/>
  <c r="W15" i="9" l="1"/>
  <c r="W17" i="9" s="1"/>
  <c r="L4" i="6"/>
  <c r="K7" i="6"/>
  <c r="K9" i="6" s="1"/>
  <c r="L7" i="6"/>
  <c r="M7" i="6" s="1"/>
  <c r="C4" i="6"/>
  <c r="L5" i="6"/>
  <c r="K5" i="6"/>
  <c r="J4" i="6"/>
  <c r="J5" i="6"/>
  <c r="G4" i="6"/>
  <c r="G5" i="6"/>
  <c r="H4" i="6"/>
  <c r="H5" i="6"/>
  <c r="E4" i="6"/>
  <c r="E5" i="6"/>
  <c r="I5" i="6"/>
  <c r="I4" i="6"/>
  <c r="F4" i="6"/>
  <c r="F5" i="6"/>
  <c r="B4" i="6"/>
  <c r="D3" i="6"/>
  <c r="D2" i="6"/>
  <c r="E15" i="1"/>
  <c r="C16" i="1"/>
  <c r="C19" i="1"/>
  <c r="C9" i="1"/>
  <c r="C13" i="1"/>
  <c r="B12" i="1"/>
  <c r="E18" i="1"/>
  <c r="E19" i="1"/>
  <c r="F18" i="1" s="1"/>
  <c r="G15" i="1"/>
  <c r="G18" i="1" s="1"/>
  <c r="F15" i="1"/>
  <c r="E16" i="1"/>
  <c r="E8" i="1"/>
  <c r="E9" i="1"/>
  <c r="B6" i="1"/>
  <c r="D6" i="1" s="1"/>
  <c r="D3" i="1"/>
  <c r="D2" i="1"/>
  <c r="E2" i="1" s="1"/>
  <c r="G2" i="1" s="1"/>
  <c r="B5" i="1"/>
  <c r="D5" i="1" s="1"/>
  <c r="E5" i="1" s="1"/>
  <c r="D5" i="6" l="1"/>
  <c r="D4" i="6"/>
  <c r="G5" i="1"/>
  <c r="H5" i="1" s="1"/>
  <c r="H18" i="1"/>
  <c r="F8" i="1"/>
  <c r="H8" i="1" s="1"/>
  <c r="H15" i="1"/>
  <c r="J16" i="1" s="1"/>
</calcChain>
</file>

<file path=xl/sharedStrings.xml><?xml version="1.0" encoding="utf-8"?>
<sst xmlns="http://schemas.openxmlformats.org/spreadsheetml/2006/main" count="176" uniqueCount="62">
  <si>
    <t>kw</t>
  </si>
  <si>
    <t>$km</t>
  </si>
  <si>
    <t>valor tota</t>
  </si>
  <si>
    <t>precio</t>
  </si>
  <si>
    <t>alumbrado</t>
  </si>
  <si>
    <t>precio final</t>
  </si>
  <si>
    <t>proporcion 20 dias</t>
  </si>
  <si>
    <t>valor total</t>
  </si>
  <si>
    <t>mes</t>
  </si>
  <si>
    <t>Febrero</t>
  </si>
  <si>
    <t>marzo</t>
  </si>
  <si>
    <t>kw total</t>
  </si>
  <si>
    <t>kw -cesar</t>
  </si>
  <si>
    <t>arriendo</t>
  </si>
  <si>
    <t>egreso</t>
  </si>
  <si>
    <t>ingreso</t>
  </si>
  <si>
    <t>balance</t>
  </si>
  <si>
    <t>abril</t>
  </si>
  <si>
    <t>julio</t>
  </si>
  <si>
    <t>mayo</t>
  </si>
  <si>
    <t>junio</t>
  </si>
  <si>
    <t>agosto</t>
  </si>
  <si>
    <t>septiembre</t>
  </si>
  <si>
    <t>octubre</t>
  </si>
  <si>
    <t>noviembre</t>
  </si>
  <si>
    <t>diciembre</t>
  </si>
  <si>
    <t>Gastos fijos</t>
  </si>
  <si>
    <t>credito</t>
  </si>
  <si>
    <t>empleado</t>
  </si>
  <si>
    <t>enero</t>
  </si>
  <si>
    <t>febrero</t>
  </si>
  <si>
    <t>tomate</t>
  </si>
  <si>
    <t>pimenton</t>
  </si>
  <si>
    <t>cebolla</t>
  </si>
  <si>
    <t>sal</t>
  </si>
  <si>
    <t>comino</t>
  </si>
  <si>
    <t>carne</t>
  </si>
  <si>
    <t>papa</t>
  </si>
  <si>
    <t>masa</t>
  </si>
  <si>
    <t>fecula</t>
  </si>
  <si>
    <t>almidon</t>
  </si>
  <si>
    <t>harina maiz</t>
  </si>
  <si>
    <t>luz</t>
  </si>
  <si>
    <t>agua</t>
  </si>
  <si>
    <t>gas</t>
  </si>
  <si>
    <t>aceite</t>
  </si>
  <si>
    <t>precio/kg insumo</t>
  </si>
  <si>
    <t>precio del insumo usado</t>
  </si>
  <si>
    <t>kg de uso</t>
  </si>
  <si>
    <t>gr de uso</t>
  </si>
  <si>
    <t>insumo</t>
  </si>
  <si>
    <t>Pe</t>
  </si>
  <si>
    <t>%utilidad</t>
  </si>
  <si>
    <t>pollo</t>
  </si>
  <si>
    <t>mozarela</t>
  </si>
  <si>
    <t>cuaja</t>
  </si>
  <si>
    <t>precio*emp</t>
  </si>
  <si>
    <t>queso</t>
  </si>
  <si>
    <t>PV</t>
  </si>
  <si>
    <t>CPr</t>
  </si>
  <si>
    <t>empanada de carne</t>
  </si>
  <si>
    <t>empanada de 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</si>
</sst>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&quot;$&quot;\ * #,##0.00_-;\-&quot;$&quot;\ * #,##0.00_-;_-&quot;$&quot;\ * &quot;-&quot;??_-;_-@_-"/>
    <numFmt numFmtId="166" formatCode="#,##0.0000"/>
    <numFmt numFmtId="167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65" fontId="0" fillId="0" borderId="0" xfId="1" applyFont="1"/>
    <xf numFmtId="165" fontId="0" fillId="0" borderId="0" xfId="0" applyNumberFormat="1"/>
    <xf numFmtId="0" fontId="0" fillId="2" borderId="0" xfId="0" applyFill="1"/>
    <xf numFmtId="165" fontId="0" fillId="2" borderId="0" xfId="1" applyFont="1" applyFill="1"/>
    <xf numFmtId="165" fontId="0" fillId="2" borderId="0" xfId="0" applyNumberFormat="1" applyFill="1"/>
    <xf numFmtId="0" fontId="0" fillId="0" borderId="1" xfId="0" applyBorder="1"/>
    <xf numFmtId="0" fontId="0" fillId="0" borderId="2" xfId="0" applyBorder="1"/>
    <xf numFmtId="165" fontId="0" fillId="0" borderId="2" xfId="1" applyFont="1" applyBorder="1"/>
    <xf numFmtId="0" fontId="0" fillId="0" borderId="3" xfId="0" applyBorder="1"/>
    <xf numFmtId="165" fontId="0" fillId="0" borderId="0" xfId="1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165" fontId="0" fillId="0" borderId="6" xfId="1" applyFont="1" applyBorder="1"/>
    <xf numFmtId="0" fontId="0" fillId="0" borderId="2" xfId="0" applyBorder="1" applyAlignment="1">
      <alignment horizontal="center" vertical="center"/>
    </xf>
    <xf numFmtId="165" fontId="0" fillId="3" borderId="0" xfId="1" applyFont="1" applyFill="1"/>
    <xf numFmtId="165" fontId="0" fillId="0" borderId="7" xfId="1" applyFont="1" applyBorder="1"/>
    <xf numFmtId="165" fontId="0" fillId="0" borderId="8" xfId="0" applyNumberFormat="1" applyBorder="1"/>
    <xf numFmtId="165" fontId="0" fillId="0" borderId="2" xfId="0" applyNumberFormat="1" applyBorder="1"/>
    <xf numFmtId="0" fontId="0" fillId="0" borderId="0" xfId="0" applyAlignment="1">
      <alignment horizontal="center" vertical="center"/>
    </xf>
    <xf numFmtId="165" fontId="0" fillId="0" borderId="9" xfId="0" applyNumberFormat="1" applyBorder="1"/>
    <xf numFmtId="165" fontId="0" fillId="0" borderId="9" xfId="1" applyFont="1" applyBorder="1"/>
    <xf numFmtId="0" fontId="0" fillId="0" borderId="9" xfId="0" applyBorder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4" borderId="0" xfId="0" applyFill="1"/>
    <xf numFmtId="165" fontId="0" fillId="4" borderId="0" xfId="0" applyNumberFormat="1" applyFill="1"/>
    <xf numFmtId="0" fontId="3" fillId="0" borderId="0" xfId="0" applyFont="1"/>
    <xf numFmtId="0" fontId="0" fillId="7" borderId="0" xfId="0" applyFill="1"/>
    <xf numFmtId="0" fontId="0" fillId="6" borderId="0" xfId="0" applyFill="1"/>
    <xf numFmtId="0" fontId="0" fillId="5" borderId="0" xfId="0" applyFill="1"/>
    <xf numFmtId="165" fontId="0" fillId="7" borderId="0" xfId="1" applyFont="1" applyFill="1" applyBorder="1"/>
    <xf numFmtId="165" fontId="0" fillId="6" borderId="0" xfId="1" applyFont="1" applyFill="1" applyBorder="1"/>
    <xf numFmtId="165" fontId="0" fillId="5" borderId="0" xfId="1" applyFont="1" applyFill="1" applyBorder="1"/>
    <xf numFmtId="164" fontId="0" fillId="0" borderId="0" xfId="0" applyNumberFormat="1"/>
    <xf numFmtId="2" fontId="0" fillId="0" borderId="0" xfId="0" applyNumberFormat="1"/>
    <xf numFmtId="9" fontId="0" fillId="0" borderId="0" xfId="2" applyFont="1"/>
    <xf numFmtId="0" fontId="0" fillId="0" borderId="0" xfId="2" applyNumberFormat="1" applyFont="1"/>
    <xf numFmtId="0" fontId="0" fillId="6" borderId="0" xfId="1" applyNumberFormat="1" applyFont="1" applyFill="1" applyBorder="1"/>
    <xf numFmtId="0" fontId="3" fillId="8" borderId="0" xfId="0" applyFont="1" applyFill="1"/>
    <xf numFmtId="165" fontId="0" fillId="8" borderId="0" xfId="1" applyFont="1" applyFill="1" applyBorder="1"/>
    <xf numFmtId="0" fontId="0" fillId="8" borderId="0" xfId="0" applyFill="1"/>
    <xf numFmtId="0" fontId="3" fillId="9" borderId="0" xfId="0" applyFont="1" applyFill="1"/>
    <xf numFmtId="165" fontId="0" fillId="9" borderId="0" xfId="1" applyFont="1" applyFill="1" applyBorder="1"/>
    <xf numFmtId="0" fontId="0" fillId="9" borderId="0" xfId="0" applyFill="1"/>
    <xf numFmtId="0" fontId="0" fillId="10" borderId="0" xfId="0" applyFill="1"/>
    <xf numFmtId="2" fontId="0" fillId="8" borderId="0" xfId="0" applyNumberFormat="1" applyFill="1"/>
    <xf numFmtId="2" fontId="0" fillId="9" borderId="0" xfId="0" applyNumberFormat="1" applyFill="1"/>
    <xf numFmtId="167" fontId="0" fillId="7" borderId="0" xfId="1" applyNumberFormat="1" applyFont="1" applyFill="1" applyBorder="1"/>
    <xf numFmtId="167" fontId="0" fillId="6" borderId="0" xfId="1" applyNumberFormat="1" applyFont="1" applyFill="1" applyBorder="1"/>
    <xf numFmtId="167" fontId="0" fillId="5" borderId="0" xfId="1" applyNumberFormat="1" applyFont="1" applyFill="1" applyBorder="1"/>
    <xf numFmtId="167" fontId="0" fillId="6" borderId="0" xfId="0" applyNumberFormat="1" applyFill="1"/>
    <xf numFmtId="167" fontId="0" fillId="8" borderId="0" xfId="1" applyNumberFormat="1" applyFont="1" applyFill="1" applyBorder="1"/>
    <xf numFmtId="167" fontId="0" fillId="9" borderId="0" xfId="1" applyNumberFormat="1" applyFont="1" applyFill="1" applyBorder="1"/>
    <xf numFmtId="167" fontId="0" fillId="10" borderId="0" xfId="1" applyNumberFormat="1" applyFont="1" applyFill="1"/>
    <xf numFmtId="1" fontId="0" fillId="0" borderId="0" xfId="0" applyNumberFormat="1"/>
    <xf numFmtId="167" fontId="0" fillId="0" borderId="0" xfId="1" applyNumberFormat="1" applyFont="1" applyFill="1" applyBorder="1"/>
    <xf numFmtId="165" fontId="0" fillId="0" borderId="0" xfId="1" applyFont="1" applyFill="1" applyBorder="1"/>
    <xf numFmtId="0" fontId="0" fillId="0" borderId="0" xfId="1" applyNumberFormat="1" applyFont="1" applyFill="1" applyBorder="1"/>
    <xf numFmtId="167" fontId="0" fillId="0" borderId="0" xfId="0" applyNumberFormat="1"/>
    <xf numFmtId="167" fontId="0" fillId="0" borderId="0" xfId="1" applyNumberFormat="1" applyFont="1" applyFill="1"/>
    <xf numFmtId="165" fontId="0" fillId="0" borderId="0" xfId="1" applyFont="1" applyFill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Balance!$A$3</c:f>
              <c:strCache>
                <c:ptCount val="1"/>
                <c:pt idx="0">
                  <c:v>ingreso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Balance!$B$1:$M$1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Balance!$B$3:$M$3</c:f>
              <c:numCache>
                <c:formatCode>_-"$"\ * #,##0.00_-;\-"$"\ * #,##0.00_-;_-"$"\ * "-"??_-;_-@_-</c:formatCode>
                <c:ptCount val="12"/>
                <c:pt idx="0">
                  <c:v>4547500</c:v>
                </c:pt>
                <c:pt idx="1">
                  <c:v>7291700</c:v>
                </c:pt>
                <c:pt idx="2">
                  <c:v>7647200</c:v>
                </c:pt>
                <c:pt idx="3">
                  <c:v>8769950</c:v>
                </c:pt>
                <c:pt idx="4">
                  <c:v>8351250</c:v>
                </c:pt>
                <c:pt idx="5">
                  <c:v>7636300</c:v>
                </c:pt>
                <c:pt idx="6">
                  <c:v>9523200</c:v>
                </c:pt>
                <c:pt idx="7">
                  <c:v>9217600</c:v>
                </c:pt>
                <c:pt idx="8">
                  <c:v>8576100</c:v>
                </c:pt>
                <c:pt idx="9">
                  <c:v>9521700</c:v>
                </c:pt>
                <c:pt idx="10">
                  <c:v>11793000</c:v>
                </c:pt>
                <c:pt idx="11">
                  <c:v>6963800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A-4909-A5CA-5A6B06EA0C48}"/>
            </c:ext>
          </c:extLst>
        </c:ser>
        <c:ser>
          <c:idx val="1"/>
          <c:order val="1"/>
          <c:tx>
            <c:strRef>
              <c:f>Balance!$A$2</c:f>
              <c:strCache>
                <c:ptCount val="1"/>
                <c:pt idx="0">
                  <c:v>egreso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Balance!$B$1:$M$1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Balance!$B$2:$M$2</c:f>
              <c:numCache>
                <c:formatCode>_-"$"\ * #,##0.00_-;\-"$"\ * #,##0.00_-;_-"$"\ * "-"??_-;_-@_-</c:formatCode>
                <c:ptCount val="12"/>
                <c:pt idx="0">
                  <c:v>6331300</c:v>
                </c:pt>
                <c:pt idx="1">
                  <c:v>7340200</c:v>
                </c:pt>
                <c:pt idx="2">
                  <c:v>7141700</c:v>
                </c:pt>
                <c:pt idx="3">
                  <c:v>7924600</c:v>
                </c:pt>
                <c:pt idx="4">
                  <c:v>7918100</c:v>
                </c:pt>
                <c:pt idx="5">
                  <c:v>7554100</c:v>
                </c:pt>
                <c:pt idx="6">
                  <c:v>7954800</c:v>
                </c:pt>
                <c:pt idx="7">
                  <c:v>7760800</c:v>
                </c:pt>
                <c:pt idx="8">
                  <c:v>7545500</c:v>
                </c:pt>
                <c:pt idx="9">
                  <c:v>7460400</c:v>
                </c:pt>
                <c:pt idx="10">
                  <c:v>9553300</c:v>
                </c:pt>
                <c:pt idx="11">
                  <c:v>8646500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3A-4909-A5CA-5A6B06EA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815695"/>
        <c:axId val="628685583"/>
      </c:lineChart>
      <c:catAx>
        <c:axId val="120981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8685583"/>
        <c:crosses val="autoZero"/>
        <c:auto val="1"/>
        <c:lblAlgn val="ctr"/>
        <c:lblOffset val="100"/>
        <c:noMultiLvlLbl val="0"/>
      </c:catAx>
      <c:valAx>
        <c:axId val="6286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.00_-;\-&quot;$&quot;\ * #,##0.0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9815695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119062</xdr:rowOff>
    </xdr:from>
    <xdr:to>
      <xdr:col>12</xdr:col>
      <xdr:colOff>914400</xdr:colOff>
      <xdr:row>26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9D6C3D-8255-01F7-8627-62BBBC0BF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2C2C-455B-404D-9D06-1B9A30FF2AAD}">
  <dimension ref="B1:J19"/>
  <sheetViews>
    <sheetView workbookViewId="0">
      <selection activeCell="G2" sqref="G2"/>
    </sheetView>
  </sheetViews>
  <sheetFormatPr baseColWidth="10" defaultRowHeight="15" x14ac:dyDescent="0.25"/>
  <cols>
    <col min="4" max="4" width="13" style="1" bestFit="1" customWidth="1"/>
    <col min="5" max="5" width="13" bestFit="1" customWidth="1"/>
    <col min="6" max="6" width="13" style="1" bestFit="1" customWidth="1"/>
    <col min="7" max="8" width="13" bestFit="1" customWidth="1"/>
    <col min="10" max="10" width="13" bestFit="1" customWidth="1"/>
  </cols>
  <sheetData>
    <row r="1" spans="2:10" x14ac:dyDescent="0.25">
      <c r="B1" t="s">
        <v>0</v>
      </c>
      <c r="C1" t="s">
        <v>1</v>
      </c>
      <c r="D1" s="1" t="s">
        <v>2</v>
      </c>
      <c r="E1" t="s">
        <v>3</v>
      </c>
      <c r="F1" s="1" t="s">
        <v>4</v>
      </c>
      <c r="G1" t="s">
        <v>5</v>
      </c>
      <c r="H1" s="1" t="s">
        <v>6</v>
      </c>
    </row>
    <row r="2" spans="2:10" x14ac:dyDescent="0.25">
      <c r="B2">
        <v>130</v>
      </c>
      <c r="C2">
        <v>814.68870000000004</v>
      </c>
      <c r="D2" s="1">
        <f>+C2*B2</f>
        <v>105909.531</v>
      </c>
      <c r="E2" s="2">
        <f>+D2+D3</f>
        <v>331146.99650000001</v>
      </c>
      <c r="F2" s="1">
        <v>9696</v>
      </c>
      <c r="G2" s="2">
        <f>+F2+E2</f>
        <v>340842.99650000001</v>
      </c>
    </row>
    <row r="3" spans="2:10" x14ac:dyDescent="0.25">
      <c r="B3">
        <v>235</v>
      </c>
      <c r="C3">
        <v>958.45730000000003</v>
      </c>
      <c r="D3" s="1">
        <f t="shared" ref="D3:D6" si="0">+C3*B3</f>
        <v>225237.46550000002</v>
      </c>
    </row>
    <row r="5" spans="2:10" x14ac:dyDescent="0.25">
      <c r="B5">
        <f>+B2/2</f>
        <v>65</v>
      </c>
      <c r="C5">
        <v>814.68870000000004</v>
      </c>
      <c r="D5" s="1">
        <f t="shared" si="0"/>
        <v>52954.765500000001</v>
      </c>
      <c r="E5" s="2">
        <f>+D5+D6</f>
        <v>184263.41560000001</v>
      </c>
      <c r="F5" s="1">
        <v>9696</v>
      </c>
      <c r="G5" s="2">
        <f>+F5+E5</f>
        <v>193959.41560000001</v>
      </c>
      <c r="H5" s="1">
        <f>+G5*0.7</f>
        <v>135771.59091999999</v>
      </c>
    </row>
    <row r="6" spans="2:10" x14ac:dyDescent="0.25">
      <c r="B6">
        <f>+C13</f>
        <v>137</v>
      </c>
      <c r="C6">
        <v>958.45730000000003</v>
      </c>
      <c r="D6" s="1">
        <f t="shared" si="0"/>
        <v>131308.6501</v>
      </c>
    </row>
    <row r="8" spans="2:10" x14ac:dyDescent="0.25">
      <c r="B8" s="3">
        <v>163</v>
      </c>
      <c r="C8" s="3">
        <v>65</v>
      </c>
      <c r="D8" s="3">
        <v>814.68870000000004</v>
      </c>
      <c r="E8" s="4">
        <f>+D8*C8</f>
        <v>52954.765500000001</v>
      </c>
      <c r="F8" s="4">
        <f>+E8+E9</f>
        <v>146883.5809</v>
      </c>
      <c r="G8" s="4">
        <v>9696</v>
      </c>
      <c r="H8" s="5">
        <f>+G8+F8</f>
        <v>156579.5809</v>
      </c>
    </row>
    <row r="9" spans="2:10" x14ac:dyDescent="0.25">
      <c r="B9" s="3"/>
      <c r="C9" s="3">
        <f>B8-C8</f>
        <v>98</v>
      </c>
      <c r="D9" s="3">
        <v>958.45730000000003</v>
      </c>
      <c r="E9" s="4">
        <f>+D9*C9</f>
        <v>93928.815400000007</v>
      </c>
      <c r="F9" s="4"/>
      <c r="G9" s="3"/>
      <c r="H9" s="3"/>
    </row>
    <row r="12" spans="2:10" x14ac:dyDescent="0.25">
      <c r="B12">
        <f>365-163</f>
        <v>202</v>
      </c>
      <c r="C12">
        <v>65</v>
      </c>
    </row>
    <row r="13" spans="2:10" x14ac:dyDescent="0.25">
      <c r="C13">
        <f>+B12-C12</f>
        <v>137</v>
      </c>
    </row>
    <row r="15" spans="2:10" x14ac:dyDescent="0.25">
      <c r="B15">
        <v>555</v>
      </c>
      <c r="C15">
        <v>130</v>
      </c>
      <c r="D15">
        <v>814.68870000000004</v>
      </c>
      <c r="E15" s="1">
        <f>+D15*C15</f>
        <v>105909.531</v>
      </c>
      <c r="F15" s="1">
        <f>+E15+E16</f>
        <v>513253.88350000005</v>
      </c>
      <c r="G15" s="2">
        <f>+G8</f>
        <v>9696</v>
      </c>
      <c r="H15" s="2">
        <f>+G15+F15</f>
        <v>522949.88350000005</v>
      </c>
    </row>
    <row r="16" spans="2:10" x14ac:dyDescent="0.25">
      <c r="C16">
        <f>+B15-C15</f>
        <v>425</v>
      </c>
      <c r="D16">
        <v>958.45730000000003</v>
      </c>
      <c r="E16" s="1">
        <f t="shared" ref="E16" si="1">+D16*C16</f>
        <v>407344.35250000004</v>
      </c>
      <c r="J16" s="2">
        <f>+H15-H18</f>
        <v>146883.58090000006</v>
      </c>
    </row>
    <row r="18" spans="2:8" x14ac:dyDescent="0.25">
      <c r="B18">
        <v>392</v>
      </c>
      <c r="C18">
        <v>65</v>
      </c>
      <c r="D18">
        <v>814.68870000000004</v>
      </c>
      <c r="E18" s="1">
        <f>+D18*C18</f>
        <v>52954.765500000001</v>
      </c>
      <c r="F18" s="1">
        <f>+E18+E19</f>
        <v>366370.3026</v>
      </c>
      <c r="G18" s="2">
        <f>+G15</f>
        <v>9696</v>
      </c>
      <c r="H18" s="2">
        <f>+G18+F18</f>
        <v>376066.3026</v>
      </c>
    </row>
    <row r="19" spans="2:8" x14ac:dyDescent="0.25">
      <c r="C19">
        <f>+B18-C18</f>
        <v>327</v>
      </c>
      <c r="D19">
        <v>958.45730000000003</v>
      </c>
      <c r="E19" s="1">
        <f t="shared" ref="E19" si="2">+D19*C19</f>
        <v>313415.53710000002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1FED-B5DA-4AB6-A21A-FE8A5CE63743}">
  <dimension ref="A1:K17"/>
  <sheetViews>
    <sheetView workbookViewId="0">
      <selection activeCell="B16" sqref="B16"/>
    </sheetView>
  </sheetViews>
  <sheetFormatPr baseColWidth="10" defaultRowHeight="15" x14ac:dyDescent="0.25"/>
  <cols>
    <col min="6" max="7" width="13" bestFit="1" customWidth="1"/>
    <col min="9" max="11" width="13" bestFit="1" customWidth="1"/>
  </cols>
  <sheetData>
    <row r="1" spans="1:11" ht="15.75" thickBot="1" x14ac:dyDescent="0.3">
      <c r="A1" s="6" t="s">
        <v>8</v>
      </c>
      <c r="B1" s="7" t="s">
        <v>11</v>
      </c>
      <c r="C1" s="7" t="s">
        <v>12</v>
      </c>
      <c r="D1" s="7" t="s">
        <v>0</v>
      </c>
      <c r="E1" s="7" t="s">
        <v>1</v>
      </c>
      <c r="F1" s="8" t="s">
        <v>7</v>
      </c>
      <c r="G1" s="7" t="s">
        <v>3</v>
      </c>
      <c r="H1" s="8" t="s">
        <v>4</v>
      </c>
      <c r="I1" s="9" t="s">
        <v>5</v>
      </c>
      <c r="K1" s="1"/>
    </row>
    <row r="2" spans="1:11" x14ac:dyDescent="0.25">
      <c r="A2" s="63" t="s">
        <v>9</v>
      </c>
      <c r="B2" s="14">
        <v>365</v>
      </c>
      <c r="C2" s="14">
        <f>+B2-163</f>
        <v>202</v>
      </c>
      <c r="D2" s="7">
        <v>65</v>
      </c>
      <c r="E2" s="7">
        <v>814.68870000000004</v>
      </c>
      <c r="F2" s="8">
        <f t="shared" ref="F2:F7" si="0">+E2*D2</f>
        <v>52954.765500000001</v>
      </c>
      <c r="G2" s="18">
        <f>+F2+F3</f>
        <v>184263.41560000001</v>
      </c>
      <c r="H2" s="8">
        <v>9696</v>
      </c>
      <c r="I2" s="18">
        <f>+H2+G2</f>
        <v>193959.41560000001</v>
      </c>
      <c r="J2" s="16">
        <v>340842.99650000001</v>
      </c>
      <c r="K2" s="2"/>
    </row>
    <row r="3" spans="1:11" ht="15.75" thickBot="1" x14ac:dyDescent="0.3">
      <c r="A3" s="64"/>
      <c r="B3" s="11"/>
      <c r="C3" s="11"/>
      <c r="D3" s="12">
        <f>+C2-D2</f>
        <v>137</v>
      </c>
      <c r="E3" s="12">
        <v>958.45730000000003</v>
      </c>
      <c r="F3" s="13">
        <f t="shared" si="0"/>
        <v>131308.6501</v>
      </c>
      <c r="G3" s="12"/>
      <c r="H3" s="13"/>
      <c r="I3" s="12"/>
      <c r="J3" s="17">
        <f>+J2-I2</f>
        <v>146883.5809</v>
      </c>
    </row>
    <row r="4" spans="1:11" x14ac:dyDescent="0.25">
      <c r="A4" s="65" t="s">
        <v>10</v>
      </c>
      <c r="B4" s="19">
        <v>273</v>
      </c>
      <c r="C4" s="19">
        <f>+B4-163</f>
        <v>110</v>
      </c>
      <c r="D4">
        <f>130/2</f>
        <v>65</v>
      </c>
      <c r="E4" s="23">
        <v>815.51310000000001</v>
      </c>
      <c r="F4" s="10">
        <f t="shared" si="0"/>
        <v>53008.351499999997</v>
      </c>
      <c r="G4" s="2">
        <f>+F4+F5</f>
        <v>96182.575500000006</v>
      </c>
      <c r="H4" s="10">
        <v>9696</v>
      </c>
      <c r="I4" s="2">
        <f>+H4+G4</f>
        <v>105878.57550000001</v>
      </c>
      <c r="J4" s="21">
        <v>253290</v>
      </c>
      <c r="K4" s="1"/>
    </row>
    <row r="5" spans="1:11" ht="15.75" thickBot="1" x14ac:dyDescent="0.3">
      <c r="A5" s="65"/>
      <c r="B5" s="19"/>
      <c r="C5" s="19"/>
      <c r="D5">
        <f>+C4-D4</f>
        <v>45</v>
      </c>
      <c r="E5">
        <v>959.42719999999997</v>
      </c>
      <c r="F5" s="10">
        <f t="shared" si="0"/>
        <v>43174.224000000002</v>
      </c>
      <c r="J5" s="20">
        <f>+J4-I4</f>
        <v>147411.42449999999</v>
      </c>
      <c r="K5" s="2"/>
    </row>
    <row r="6" spans="1:11" x14ac:dyDescent="0.25">
      <c r="A6" s="63" t="s">
        <v>17</v>
      </c>
      <c r="B6" s="14">
        <v>461</v>
      </c>
      <c r="C6" s="14">
        <f>+B6-163</f>
        <v>298</v>
      </c>
      <c r="D6" s="7">
        <v>65</v>
      </c>
      <c r="E6" s="7">
        <v>799.35419999999999</v>
      </c>
      <c r="F6" s="8">
        <f t="shared" si="0"/>
        <v>51958.023000000001</v>
      </c>
      <c r="G6" s="18">
        <f>+F6+F7</f>
        <v>271075.11410000001</v>
      </c>
      <c r="H6" s="8">
        <v>9696</v>
      </c>
      <c r="I6" s="18">
        <f>+H6+G6</f>
        <v>280771.11410000001</v>
      </c>
      <c r="J6" s="16">
        <v>416428</v>
      </c>
    </row>
    <row r="7" spans="1:11" ht="15.75" thickBot="1" x14ac:dyDescent="0.3">
      <c r="A7" s="64"/>
      <c r="B7" s="12"/>
      <c r="C7" s="12"/>
      <c r="D7" s="12">
        <f>+C6-D6</f>
        <v>233</v>
      </c>
      <c r="E7" s="12">
        <v>940.41669999999999</v>
      </c>
      <c r="F7" s="13">
        <f t="shared" si="0"/>
        <v>219117.09109999999</v>
      </c>
      <c r="G7" s="12"/>
      <c r="H7" s="12"/>
      <c r="I7" s="12"/>
      <c r="J7" s="17">
        <f>+J6-I6</f>
        <v>135656.88589999999</v>
      </c>
    </row>
    <row r="8" spans="1:11" x14ac:dyDescent="0.25">
      <c r="A8" s="63" t="s">
        <v>19</v>
      </c>
      <c r="J8" s="22"/>
    </row>
    <row r="9" spans="1:11" ht="15.75" thickBot="1" x14ac:dyDescent="0.3">
      <c r="A9" s="64"/>
      <c r="J9" s="22"/>
    </row>
    <row r="10" spans="1:11" x14ac:dyDescent="0.25">
      <c r="A10" s="63" t="s">
        <v>20</v>
      </c>
      <c r="B10" s="7"/>
      <c r="C10" s="7"/>
      <c r="D10" s="7"/>
      <c r="E10" s="7"/>
      <c r="F10" s="7"/>
      <c r="G10" s="7"/>
      <c r="H10" s="7"/>
      <c r="I10" s="7"/>
      <c r="J10" s="24"/>
    </row>
    <row r="11" spans="1:11" ht="15.75" thickBot="1" x14ac:dyDescent="0.3">
      <c r="A11" s="64"/>
      <c r="B11" s="12"/>
      <c r="C11" s="12"/>
      <c r="D11" s="12"/>
      <c r="E11" s="12"/>
      <c r="F11" s="12"/>
      <c r="G11" s="12"/>
      <c r="H11" s="12"/>
      <c r="I11" s="12"/>
      <c r="J11" s="25"/>
    </row>
    <row r="12" spans="1:11" x14ac:dyDescent="0.25">
      <c r="A12" s="65" t="s">
        <v>18</v>
      </c>
      <c r="B12" s="19">
        <v>366</v>
      </c>
      <c r="C12" s="19">
        <f>+B12-163</f>
        <v>203</v>
      </c>
      <c r="D12">
        <v>65</v>
      </c>
      <c r="E12">
        <v>849.24239999999998</v>
      </c>
      <c r="F12" s="10">
        <f t="shared" ref="F12:F17" si="1">+E12*D12</f>
        <v>55200.756000000001</v>
      </c>
      <c r="G12" s="2">
        <f>+F12+F13</f>
        <v>193077.75659999999</v>
      </c>
      <c r="H12" s="10">
        <v>9696</v>
      </c>
      <c r="I12" s="2">
        <f>+H12+G12</f>
        <v>202773.75659999999</v>
      </c>
      <c r="J12" s="20">
        <v>355887</v>
      </c>
    </row>
    <row r="13" spans="1:11" ht="15.75" thickBot="1" x14ac:dyDescent="0.3">
      <c r="A13" s="64"/>
      <c r="B13" s="12"/>
      <c r="C13" s="12"/>
      <c r="D13" s="12">
        <f>+C12-D12</f>
        <v>138</v>
      </c>
      <c r="E13" s="12">
        <v>999.1087</v>
      </c>
      <c r="F13" s="13">
        <f t="shared" si="1"/>
        <v>137877.0006</v>
      </c>
      <c r="G13" s="12"/>
      <c r="H13" s="12"/>
      <c r="I13" s="12"/>
      <c r="J13" s="17">
        <f>+J12-I12</f>
        <v>153113.24340000001</v>
      </c>
    </row>
    <row r="14" spans="1:11" x14ac:dyDescent="0.25">
      <c r="A14" t="s">
        <v>21</v>
      </c>
      <c r="B14" s="19">
        <v>426</v>
      </c>
      <c r="C14" s="19">
        <f>+B14-163</f>
        <v>263</v>
      </c>
      <c r="D14">
        <v>65</v>
      </c>
      <c r="E14">
        <v>865.55510000000004</v>
      </c>
      <c r="F14" s="10">
        <f t="shared" si="1"/>
        <v>56261.0815</v>
      </c>
      <c r="G14" s="2">
        <f>+F14+F15</f>
        <v>257884.5013</v>
      </c>
      <c r="H14" s="10">
        <v>9696</v>
      </c>
      <c r="I14" s="2">
        <f>+H14+G14</f>
        <v>267580.5013</v>
      </c>
      <c r="J14" s="20">
        <v>423861</v>
      </c>
    </row>
    <row r="15" spans="1:11" ht="15.75" thickBot="1" x14ac:dyDescent="0.3">
      <c r="B15" s="12"/>
      <c r="C15" s="12"/>
      <c r="D15" s="12">
        <f>+C14-D14</f>
        <v>198</v>
      </c>
      <c r="E15" s="12">
        <v>1018.3001</v>
      </c>
      <c r="F15" s="13">
        <f t="shared" si="1"/>
        <v>201623.4198</v>
      </c>
      <c r="G15" s="12"/>
      <c r="H15" s="12"/>
      <c r="I15" s="12"/>
      <c r="J15" s="17">
        <f>+J14-I14</f>
        <v>156280.4987</v>
      </c>
    </row>
    <row r="16" spans="1:11" x14ac:dyDescent="0.25">
      <c r="A16" t="s">
        <v>22</v>
      </c>
      <c r="B16" s="19">
        <v>426</v>
      </c>
      <c r="C16" s="19">
        <f>+B16-163</f>
        <v>263</v>
      </c>
      <c r="D16">
        <v>65</v>
      </c>
      <c r="E16">
        <v>865.55510000000004</v>
      </c>
      <c r="F16" s="10">
        <f t="shared" si="1"/>
        <v>56261.0815</v>
      </c>
      <c r="G16" s="2">
        <f>+F16+F17</f>
        <v>257884.5013</v>
      </c>
      <c r="H16" s="10">
        <v>9696</v>
      </c>
      <c r="I16" s="2">
        <f>+H16+G16</f>
        <v>267580.5013</v>
      </c>
      <c r="J16" s="20">
        <v>423861</v>
      </c>
    </row>
    <row r="17" spans="2:10" ht="15.75" thickBot="1" x14ac:dyDescent="0.3">
      <c r="B17" s="12"/>
      <c r="C17" s="12"/>
      <c r="D17" s="12">
        <f>+C16-D16</f>
        <v>198</v>
      </c>
      <c r="E17" s="12">
        <v>1018.3001</v>
      </c>
      <c r="F17" s="13">
        <f t="shared" si="1"/>
        <v>201623.4198</v>
      </c>
      <c r="G17" s="12"/>
      <c r="H17" s="12"/>
      <c r="I17" s="12"/>
      <c r="J17" s="17">
        <f>+J16-I16</f>
        <v>156280.4987</v>
      </c>
    </row>
  </sheetData>
  <mergeCells count="6">
    <mergeCell ref="A2:A3"/>
    <mergeCell ref="A4:A5"/>
    <mergeCell ref="A6:A7"/>
    <mergeCell ref="A12:A13"/>
    <mergeCell ref="A8:A9"/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7635-E07B-465F-BF38-7CFA77EE4345}">
  <dimension ref="A1:B5"/>
  <sheetViews>
    <sheetView workbookViewId="0">
      <selection activeCell="B4" sqref="B4"/>
    </sheetView>
  </sheetViews>
  <sheetFormatPr baseColWidth="10" defaultRowHeight="15" x14ac:dyDescent="0.25"/>
  <cols>
    <col min="2" max="2" width="14.5703125" bestFit="1" customWidth="1"/>
  </cols>
  <sheetData>
    <row r="1" spans="1:2" x14ac:dyDescent="0.25">
      <c r="A1" s="66" t="s">
        <v>26</v>
      </c>
      <c r="B1" s="66"/>
    </row>
    <row r="2" spans="1:2" x14ac:dyDescent="0.25">
      <c r="A2" t="s">
        <v>13</v>
      </c>
      <c r="B2" s="1">
        <v>900000</v>
      </c>
    </row>
    <row r="3" spans="1:2" x14ac:dyDescent="0.25">
      <c r="A3" t="s">
        <v>27</v>
      </c>
      <c r="B3" s="1">
        <v>460000</v>
      </c>
    </row>
    <row r="4" spans="1:2" x14ac:dyDescent="0.25">
      <c r="A4" t="s">
        <v>28</v>
      </c>
      <c r="B4" s="1">
        <v>1300000</v>
      </c>
    </row>
    <row r="5" spans="1:2" x14ac:dyDescent="0.25">
      <c r="B5" s="2">
        <f>+SUM(B2:B4)</f>
        <v>2660000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3C0E-0D92-4103-97A5-B99F2D619C24}">
  <dimension ref="A1:L31"/>
  <sheetViews>
    <sheetView workbookViewId="0">
      <selection activeCell="L31" sqref="L31"/>
    </sheetView>
  </sheetViews>
  <sheetFormatPr baseColWidth="10" defaultRowHeight="15" x14ac:dyDescent="0.25"/>
  <cols>
    <col min="1" max="6" width="14.5703125" bestFit="1" customWidth="1"/>
    <col min="7" max="7" width="15.5703125" bestFit="1" customWidth="1"/>
    <col min="8" max="12" width="14.5703125" bestFit="1" customWidth="1"/>
  </cols>
  <sheetData>
    <row r="1" spans="1:12" x14ac:dyDescent="0.25">
      <c r="A1" t="s">
        <v>29</v>
      </c>
      <c r="B1" t="s">
        <v>30</v>
      </c>
      <c r="C1" t="s">
        <v>10</v>
      </c>
      <c r="D1" t="s">
        <v>17</v>
      </c>
      <c r="E1" t="s">
        <v>19</v>
      </c>
      <c r="F1" t="s">
        <v>20</v>
      </c>
      <c r="G1" t="s">
        <v>18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s="1" customFormat="1" x14ac:dyDescent="0.25">
      <c r="A2" s="1">
        <f>65000+271300+372000+312200+581400+32600+10000+65600</f>
        <v>1710100</v>
      </c>
      <c r="B2" s="1">
        <v>131000</v>
      </c>
      <c r="C2" s="1">
        <v>260900</v>
      </c>
      <c r="D2" s="1">
        <f>16400+24600</f>
        <v>41000</v>
      </c>
      <c r="E2" s="1">
        <v>108000</v>
      </c>
      <c r="F2" s="1">
        <v>94500</v>
      </c>
      <c r="G2" s="1">
        <v>397000</v>
      </c>
      <c r="H2" s="1">
        <v>312000</v>
      </c>
      <c r="I2" s="1">
        <v>285100</v>
      </c>
      <c r="J2" s="1">
        <v>50000</v>
      </c>
      <c r="K2" s="1">
        <v>548100</v>
      </c>
      <c r="L2" s="1">
        <v>607000</v>
      </c>
    </row>
    <row r="3" spans="1:12" s="1" customFormat="1" x14ac:dyDescent="0.25">
      <c r="A3" s="1">
        <v>450000</v>
      </c>
      <c r="B3" s="1">
        <f>189500+32800</f>
        <v>222300</v>
      </c>
      <c r="C3" s="1">
        <v>52000</v>
      </c>
      <c r="D3" s="1">
        <f>400000+54000+8200</f>
        <v>462200</v>
      </c>
      <c r="E3" s="1">
        <v>300700</v>
      </c>
      <c r="F3" s="1">
        <v>301600</v>
      </c>
      <c r="G3" s="1">
        <v>863300</v>
      </c>
      <c r="H3" s="1">
        <v>348800</v>
      </c>
      <c r="I3" s="1">
        <v>72600</v>
      </c>
      <c r="J3" s="1">
        <v>202900</v>
      </c>
      <c r="K3" s="1">
        <v>311700</v>
      </c>
      <c r="L3" s="1">
        <v>270500</v>
      </c>
    </row>
    <row r="4" spans="1:12" s="1" customFormat="1" x14ac:dyDescent="0.25">
      <c r="A4" s="1">
        <f>282800+49200+15000+78200+49200+72600+19000+21000</f>
        <v>587000</v>
      </c>
      <c r="B4" s="1">
        <v>479200</v>
      </c>
      <c r="C4" s="1">
        <v>121700</v>
      </c>
      <c r="D4" s="1">
        <v>317600</v>
      </c>
      <c r="E4" s="1">
        <v>865000</v>
      </c>
      <c r="F4" s="1">
        <v>187200</v>
      </c>
      <c r="G4" s="1">
        <v>219000</v>
      </c>
      <c r="H4" s="1">
        <v>255400</v>
      </c>
      <c r="I4" s="1">
        <v>436500</v>
      </c>
      <c r="J4" s="1">
        <v>266000</v>
      </c>
      <c r="K4" s="1">
        <v>207000</v>
      </c>
      <c r="L4" s="1">
        <v>74100</v>
      </c>
    </row>
    <row r="5" spans="1:12" s="1" customFormat="1" x14ac:dyDescent="0.25">
      <c r="A5" s="1">
        <v>10000</v>
      </c>
      <c r="B5" s="1">
        <v>68100</v>
      </c>
      <c r="C5" s="1">
        <v>222800</v>
      </c>
      <c r="D5" s="1">
        <v>399500</v>
      </c>
      <c r="E5" s="1">
        <v>209600</v>
      </c>
      <c r="F5" s="1">
        <v>54700</v>
      </c>
      <c r="G5" s="1">
        <v>59900</v>
      </c>
      <c r="H5" s="1">
        <v>234500</v>
      </c>
      <c r="I5" s="1">
        <v>150600</v>
      </c>
      <c r="J5" s="1">
        <v>137000</v>
      </c>
      <c r="K5" s="1">
        <v>228700</v>
      </c>
      <c r="L5" s="1">
        <v>480900</v>
      </c>
    </row>
    <row r="6" spans="1:12" s="1" customFormat="1" x14ac:dyDescent="0.25">
      <c r="A6" s="1">
        <v>41000</v>
      </c>
      <c r="B6" s="1">
        <v>53700</v>
      </c>
      <c r="C6" s="1">
        <v>115500</v>
      </c>
      <c r="D6" s="1">
        <v>343000</v>
      </c>
      <c r="E6" s="1">
        <v>24600</v>
      </c>
      <c r="F6" s="1">
        <v>393100</v>
      </c>
      <c r="G6" s="1">
        <v>116900</v>
      </c>
      <c r="H6" s="1">
        <v>207900</v>
      </c>
      <c r="I6" s="1">
        <v>261800</v>
      </c>
      <c r="J6" s="1">
        <v>133500</v>
      </c>
      <c r="K6" s="1">
        <v>392500</v>
      </c>
      <c r="L6" s="1">
        <v>202800</v>
      </c>
    </row>
    <row r="7" spans="1:12" s="1" customFormat="1" x14ac:dyDescent="0.25">
      <c r="A7" s="1">
        <f>98500+96000</f>
        <v>194500</v>
      </c>
      <c r="B7" s="1">
        <v>75300</v>
      </c>
      <c r="C7" s="1">
        <v>185000</v>
      </c>
      <c r="D7" s="1">
        <v>144400</v>
      </c>
      <c r="E7" s="1">
        <v>251100</v>
      </c>
      <c r="F7" s="1">
        <v>104600</v>
      </c>
      <c r="G7" s="1">
        <v>427600</v>
      </c>
      <c r="H7" s="1">
        <v>93500</v>
      </c>
      <c r="I7" s="1">
        <v>132100</v>
      </c>
      <c r="J7" s="1">
        <v>156600</v>
      </c>
      <c r="K7" s="1">
        <v>306200</v>
      </c>
      <c r="L7" s="1">
        <v>334300</v>
      </c>
    </row>
    <row r="8" spans="1:12" s="1" customFormat="1" x14ac:dyDescent="0.25">
      <c r="A8" s="1">
        <f>108200+30000</f>
        <v>138200</v>
      </c>
      <c r="B8" s="1">
        <v>89600</v>
      </c>
      <c r="C8" s="1">
        <v>104500</v>
      </c>
      <c r="D8" s="1">
        <v>328500</v>
      </c>
      <c r="E8" s="1">
        <v>337800</v>
      </c>
      <c r="F8" s="1">
        <v>308000</v>
      </c>
      <c r="G8" s="1">
        <v>200000</v>
      </c>
      <c r="H8" s="1">
        <v>211200</v>
      </c>
      <c r="I8" s="1">
        <v>232300</v>
      </c>
      <c r="J8" s="1">
        <v>204600</v>
      </c>
      <c r="K8" s="1">
        <v>68000</v>
      </c>
      <c r="L8" s="1">
        <v>82000</v>
      </c>
    </row>
    <row r="9" spans="1:12" s="1" customFormat="1" x14ac:dyDescent="0.25">
      <c r="A9" s="1">
        <f>26000+191000+121200+16200</f>
        <v>354400</v>
      </c>
      <c r="B9" s="1">
        <v>78000</v>
      </c>
      <c r="C9" s="1">
        <v>78500</v>
      </c>
      <c r="D9" s="1">
        <v>584400</v>
      </c>
      <c r="E9" s="1">
        <v>478400</v>
      </c>
      <c r="F9" s="1">
        <v>92800</v>
      </c>
      <c r="G9" s="1">
        <v>49200</v>
      </c>
      <c r="H9" s="1">
        <v>222100</v>
      </c>
      <c r="I9" s="1">
        <v>127000</v>
      </c>
      <c r="J9" s="1">
        <v>319600</v>
      </c>
      <c r="K9" s="1">
        <v>276900</v>
      </c>
      <c r="L9" s="1">
        <v>471800</v>
      </c>
    </row>
    <row r="10" spans="1:12" s="1" customFormat="1" x14ac:dyDescent="0.25">
      <c r="A10" s="1">
        <f>10500+4000+14500+14500</f>
        <v>43500</v>
      </c>
      <c r="B10" s="1">
        <v>242600</v>
      </c>
      <c r="C10" s="1">
        <v>198000</v>
      </c>
      <c r="D10" s="1">
        <v>45600</v>
      </c>
      <c r="E10" s="1">
        <v>79000</v>
      </c>
      <c r="F10" s="1">
        <v>259100</v>
      </c>
      <c r="G10" s="1">
        <v>118100</v>
      </c>
      <c r="H10" s="1">
        <v>221500</v>
      </c>
      <c r="I10" s="1">
        <v>74600</v>
      </c>
      <c r="J10" s="1">
        <v>253300</v>
      </c>
      <c r="K10" s="1">
        <v>190100</v>
      </c>
      <c r="L10" s="1">
        <v>182800</v>
      </c>
    </row>
    <row r="11" spans="1:12" s="1" customFormat="1" x14ac:dyDescent="0.25">
      <c r="A11" s="1">
        <f>4000+4000+4000</f>
        <v>12000</v>
      </c>
      <c r="B11" s="1">
        <v>141800</v>
      </c>
      <c r="C11" s="1">
        <v>368900</v>
      </c>
      <c r="D11" s="1">
        <v>174400</v>
      </c>
      <c r="E11" s="1">
        <v>256500</v>
      </c>
      <c r="F11" s="1">
        <v>774400</v>
      </c>
      <c r="G11" s="1">
        <v>93500</v>
      </c>
      <c r="H11" s="1">
        <v>24600</v>
      </c>
      <c r="I11" s="1">
        <v>24900</v>
      </c>
      <c r="J11" s="1">
        <v>206800</v>
      </c>
      <c r="K11" s="1">
        <v>247600</v>
      </c>
      <c r="L11" s="1">
        <v>27100</v>
      </c>
    </row>
    <row r="12" spans="1:12" s="1" customFormat="1" x14ac:dyDescent="0.25">
      <c r="A12" s="1">
        <v>130600</v>
      </c>
      <c r="B12" s="1">
        <v>40500</v>
      </c>
      <c r="C12" s="1">
        <v>24000</v>
      </c>
      <c r="D12" s="1">
        <v>236000</v>
      </c>
      <c r="E12" s="1">
        <v>63000</v>
      </c>
      <c r="F12" s="1">
        <v>186400</v>
      </c>
      <c r="G12" s="1">
        <v>177000</v>
      </c>
      <c r="H12" s="1">
        <v>329500</v>
      </c>
      <c r="I12" s="1">
        <v>148600</v>
      </c>
      <c r="J12" s="1">
        <v>73000</v>
      </c>
      <c r="K12" s="1">
        <v>715400</v>
      </c>
      <c r="L12" s="1">
        <v>38800</v>
      </c>
    </row>
    <row r="13" spans="1:12" s="1" customFormat="1" x14ac:dyDescent="0.25">
      <c r="B13" s="1">
        <v>296700</v>
      </c>
      <c r="C13" s="1">
        <v>395200</v>
      </c>
      <c r="D13" s="1">
        <v>218200</v>
      </c>
      <c r="E13" s="1">
        <v>108000</v>
      </c>
      <c r="F13" s="1">
        <v>674500</v>
      </c>
      <c r="G13" s="1">
        <v>876500</v>
      </c>
      <c r="H13" s="1">
        <v>16400</v>
      </c>
      <c r="I13" s="1">
        <v>386800</v>
      </c>
      <c r="J13" s="1">
        <v>300800</v>
      </c>
      <c r="K13" s="1">
        <v>483800</v>
      </c>
      <c r="L13" s="1">
        <v>500900</v>
      </c>
    </row>
    <row r="14" spans="1:12" s="1" customFormat="1" x14ac:dyDescent="0.25">
      <c r="B14" s="1">
        <v>77000</v>
      </c>
      <c r="C14" s="1">
        <v>181500</v>
      </c>
      <c r="D14" s="1">
        <v>57400</v>
      </c>
      <c r="E14" s="1">
        <f>1254000-650000</f>
        <v>604000</v>
      </c>
      <c r="F14" s="1">
        <v>191800</v>
      </c>
      <c r="G14" s="1">
        <v>206500</v>
      </c>
      <c r="H14" s="1">
        <v>306400</v>
      </c>
      <c r="I14" s="1">
        <v>154600</v>
      </c>
      <c r="J14" s="1">
        <v>152800</v>
      </c>
      <c r="K14" s="1">
        <v>427400</v>
      </c>
      <c r="L14" s="1">
        <v>434600</v>
      </c>
    </row>
    <row r="15" spans="1:12" s="1" customFormat="1" x14ac:dyDescent="0.25">
      <c r="B15" s="1">
        <v>152100</v>
      </c>
      <c r="C15" s="1">
        <v>123800</v>
      </c>
      <c r="D15" s="1">
        <v>437200</v>
      </c>
      <c r="E15" s="1">
        <v>36500</v>
      </c>
      <c r="F15" s="1">
        <v>24600</v>
      </c>
      <c r="G15" s="1">
        <v>225000</v>
      </c>
      <c r="H15" s="1">
        <v>331800</v>
      </c>
      <c r="I15" s="1">
        <v>120800</v>
      </c>
      <c r="J15" s="1">
        <v>508900</v>
      </c>
      <c r="K15" s="1">
        <v>110300</v>
      </c>
      <c r="L15" s="1">
        <v>63800</v>
      </c>
    </row>
    <row r="16" spans="1:12" s="1" customFormat="1" x14ac:dyDescent="0.25">
      <c r="B16" s="1">
        <v>101000</v>
      </c>
      <c r="C16" s="1">
        <v>916400</v>
      </c>
      <c r="D16" s="1">
        <v>122000</v>
      </c>
      <c r="E16" s="1">
        <v>185500</v>
      </c>
      <c r="F16" s="1">
        <v>239900</v>
      </c>
      <c r="G16" s="1">
        <v>135800</v>
      </c>
      <c r="H16" s="1">
        <v>218000</v>
      </c>
      <c r="I16" s="1">
        <v>240000</v>
      </c>
      <c r="J16" s="1">
        <v>16400</v>
      </c>
      <c r="K16" s="1">
        <v>156800</v>
      </c>
      <c r="L16" s="1">
        <v>563100</v>
      </c>
    </row>
    <row r="17" spans="1:12" s="1" customFormat="1" x14ac:dyDescent="0.25">
      <c r="B17" s="1">
        <v>922500</v>
      </c>
      <c r="C17" s="1">
        <v>224600</v>
      </c>
      <c r="D17" s="1">
        <v>45200</v>
      </c>
      <c r="E17" s="1">
        <v>59700</v>
      </c>
      <c r="F17" s="1">
        <v>987000</v>
      </c>
      <c r="G17" s="1">
        <v>197600</v>
      </c>
      <c r="H17" s="1">
        <v>106600</v>
      </c>
      <c r="I17" s="1">
        <v>202400</v>
      </c>
      <c r="J17" s="1">
        <v>128900</v>
      </c>
      <c r="K17" s="1">
        <v>66400</v>
      </c>
      <c r="L17" s="1">
        <v>13000</v>
      </c>
    </row>
    <row r="18" spans="1:12" s="1" customFormat="1" x14ac:dyDescent="0.25">
      <c r="B18" s="1">
        <v>25000</v>
      </c>
      <c r="C18" s="1">
        <v>303200</v>
      </c>
      <c r="D18" s="1">
        <v>102100</v>
      </c>
      <c r="E18" s="1">
        <v>59500</v>
      </c>
      <c r="F18" s="1">
        <v>180600</v>
      </c>
      <c r="G18" s="1">
        <v>176600</v>
      </c>
      <c r="H18" s="1">
        <v>222600</v>
      </c>
      <c r="I18" s="1">
        <v>62600</v>
      </c>
      <c r="J18" s="1">
        <v>254600</v>
      </c>
      <c r="K18" s="1">
        <v>211800</v>
      </c>
      <c r="L18" s="1">
        <v>840000</v>
      </c>
    </row>
    <row r="19" spans="1:12" s="1" customFormat="1" x14ac:dyDescent="0.25">
      <c r="B19" s="1">
        <v>414000</v>
      </c>
      <c r="C19" s="1">
        <v>178000</v>
      </c>
      <c r="D19" s="1">
        <v>480000</v>
      </c>
      <c r="E19" s="1">
        <v>156400</v>
      </c>
      <c r="F19" s="1">
        <v>93100</v>
      </c>
      <c r="G19" s="1">
        <v>582100</v>
      </c>
      <c r="H19" s="1">
        <v>333800</v>
      </c>
      <c r="I19" s="1">
        <v>354400</v>
      </c>
      <c r="J19" s="1">
        <v>125100</v>
      </c>
      <c r="K19" s="1">
        <v>284200</v>
      </c>
      <c r="L19" s="1">
        <v>389000</v>
      </c>
    </row>
    <row r="20" spans="1:12" s="1" customFormat="1" x14ac:dyDescent="0.25">
      <c r="B20" s="1">
        <v>73800</v>
      </c>
      <c r="C20" s="1">
        <v>336700</v>
      </c>
      <c r="D20" s="1">
        <v>181100</v>
      </c>
      <c r="E20" s="1">
        <v>150000</v>
      </c>
      <c r="F20" s="1">
        <v>182600</v>
      </c>
      <c r="G20" s="1">
        <v>225000</v>
      </c>
      <c r="H20" s="1">
        <v>102600</v>
      </c>
      <c r="I20" s="1">
        <v>66400</v>
      </c>
      <c r="J20" s="1">
        <v>118000</v>
      </c>
      <c r="K20" s="1">
        <v>243900</v>
      </c>
      <c r="L20" s="1">
        <v>130000</v>
      </c>
    </row>
    <row r="21" spans="1:12" s="1" customFormat="1" x14ac:dyDescent="0.25">
      <c r="B21" s="1">
        <v>144200</v>
      </c>
      <c r="C21" s="1">
        <v>6000</v>
      </c>
      <c r="D21" s="1">
        <v>82100</v>
      </c>
      <c r="E21" s="1">
        <v>106200</v>
      </c>
      <c r="F21" s="1">
        <v>234000</v>
      </c>
      <c r="G21" s="1">
        <v>74900</v>
      </c>
      <c r="H21" s="1">
        <v>41000</v>
      </c>
      <c r="I21" s="1">
        <v>290800</v>
      </c>
      <c r="J21" s="1">
        <v>212800</v>
      </c>
      <c r="K21" s="1">
        <v>230000</v>
      </c>
      <c r="L21" s="1">
        <v>280000</v>
      </c>
    </row>
    <row r="22" spans="1:12" s="1" customFormat="1" x14ac:dyDescent="0.25">
      <c r="B22" s="1">
        <v>271000</v>
      </c>
      <c r="C22" s="1">
        <v>84500</v>
      </c>
      <c r="D22" s="1">
        <v>322300</v>
      </c>
      <c r="E22" s="1">
        <v>268800</v>
      </c>
      <c r="F22" s="1">
        <v>174200</v>
      </c>
      <c r="G22" s="1">
        <v>120300</v>
      </c>
      <c r="H22" s="1">
        <v>178500</v>
      </c>
      <c r="I22" s="1">
        <v>121000</v>
      </c>
      <c r="J22" s="1">
        <v>58000</v>
      </c>
      <c r="K22" s="1">
        <v>101000</v>
      </c>
    </row>
    <row r="23" spans="1:12" s="1" customFormat="1" x14ac:dyDescent="0.25">
      <c r="B23" s="1">
        <f>224000+100000</f>
        <v>324000</v>
      </c>
      <c r="D23" s="1">
        <v>116400</v>
      </c>
      <c r="E23" s="1">
        <v>360700</v>
      </c>
      <c r="F23" s="1">
        <v>55400</v>
      </c>
      <c r="G23" s="1">
        <v>45000</v>
      </c>
      <c r="H23" s="1">
        <v>270100</v>
      </c>
      <c r="I23" s="1">
        <v>939600</v>
      </c>
      <c r="J23" s="1">
        <v>187500</v>
      </c>
      <c r="K23" s="1">
        <v>73500</v>
      </c>
    </row>
    <row r="24" spans="1:12" s="1" customFormat="1" x14ac:dyDescent="0.25">
      <c r="B24" s="1">
        <v>122500</v>
      </c>
      <c r="D24" s="1">
        <v>24000</v>
      </c>
      <c r="E24" s="1">
        <f>769600-650000</f>
        <v>119600</v>
      </c>
      <c r="G24" s="1">
        <v>851000</v>
      </c>
      <c r="H24" s="1">
        <v>512000</v>
      </c>
      <c r="J24" s="1">
        <v>62400</v>
      </c>
      <c r="K24" s="1">
        <v>362000</v>
      </c>
    </row>
    <row r="25" spans="1:12" s="1" customFormat="1" x14ac:dyDescent="0.25">
      <c r="B25" s="1">
        <v>134300</v>
      </c>
      <c r="E25" s="1">
        <v>69500</v>
      </c>
      <c r="G25" s="1">
        <v>78800</v>
      </c>
      <c r="J25" s="1">
        <v>309500</v>
      </c>
    </row>
    <row r="26" spans="1:12" s="1" customFormat="1" x14ac:dyDescent="0.25">
      <c r="G26" s="1">
        <v>78200</v>
      </c>
      <c r="J26" s="1">
        <v>197600</v>
      </c>
    </row>
    <row r="27" spans="1:12" s="1" customFormat="1" x14ac:dyDescent="0.25">
      <c r="J27" s="1">
        <v>163800</v>
      </c>
    </row>
    <row r="28" spans="1:12" s="4" customFormat="1" x14ac:dyDescent="0.25">
      <c r="A28" s="4">
        <f>+SUM(A2:A26)</f>
        <v>3671300</v>
      </c>
      <c r="B28" s="4">
        <f t="shared" ref="B28:L28" si="0">+SUM(B2:B26)</f>
        <v>4680200</v>
      </c>
      <c r="C28" s="4">
        <f t="shared" si="0"/>
        <v>4481700</v>
      </c>
      <c r="D28" s="4">
        <f t="shared" si="0"/>
        <v>5264600</v>
      </c>
      <c r="E28" s="4">
        <f>+SUM(E2:E26)</f>
        <v>5258100</v>
      </c>
      <c r="F28" s="4">
        <f>+SUM(F2:F26)</f>
        <v>5794100</v>
      </c>
      <c r="G28" s="4">
        <f t="shared" si="0"/>
        <v>6594800</v>
      </c>
      <c r="H28" s="4">
        <f t="shared" si="0"/>
        <v>5100800</v>
      </c>
      <c r="I28" s="4">
        <f t="shared" si="0"/>
        <v>4885500</v>
      </c>
      <c r="J28" s="4">
        <f>+SUM(J2:J27)</f>
        <v>4800400</v>
      </c>
      <c r="K28" s="4">
        <f t="shared" si="0"/>
        <v>6243300</v>
      </c>
      <c r="L28" s="4">
        <f t="shared" si="0"/>
        <v>5986500</v>
      </c>
    </row>
    <row r="29" spans="1:12" s="15" customFormat="1" x14ac:dyDescent="0.25">
      <c r="A29" s="15">
        <f>+'Costo Fijos'!B5</f>
        <v>2660000</v>
      </c>
      <c r="B29" s="15">
        <f>+'Costo Fijos'!B5</f>
        <v>2660000</v>
      </c>
      <c r="C29" s="15">
        <f>+'Costo Fijos'!B5</f>
        <v>2660000</v>
      </c>
      <c r="D29" s="15">
        <f>+'Costo Fijos'!B5</f>
        <v>2660000</v>
      </c>
      <c r="E29" s="15">
        <f>+'Costo Fijos'!B5</f>
        <v>2660000</v>
      </c>
      <c r="F29" s="15">
        <f>+'Costo Fijos'!B5</f>
        <v>2660000</v>
      </c>
      <c r="G29" s="15">
        <f>+'Costo Fijos'!B5</f>
        <v>2660000</v>
      </c>
      <c r="H29" s="15">
        <f>+'Costo Fijos'!B5</f>
        <v>2660000</v>
      </c>
      <c r="I29" s="15">
        <f>+'Costo Fijos'!B5</f>
        <v>2660000</v>
      </c>
      <c r="J29" s="15">
        <f>+'Costo Fijos'!B5</f>
        <v>2660000</v>
      </c>
      <c r="K29" s="15">
        <f>+'Costo Fijos'!B5+650000</f>
        <v>3310000</v>
      </c>
      <c r="L29" s="15">
        <f>+'Costo Fijos'!B5</f>
        <v>2660000</v>
      </c>
    </row>
    <row r="30" spans="1:12" s="15" customFormat="1" x14ac:dyDescent="0.25">
      <c r="F30" s="15">
        <v>-900000</v>
      </c>
      <c r="G30" s="15">
        <v>-1300000</v>
      </c>
    </row>
    <row r="31" spans="1:12" s="4" customFormat="1" x14ac:dyDescent="0.25">
      <c r="A31" s="4">
        <f>+A28+A29+A30</f>
        <v>6331300</v>
      </c>
      <c r="B31" s="4">
        <f>+B28+B29+B30</f>
        <v>7340200</v>
      </c>
      <c r="C31" s="4">
        <f>+C28+C29+C30</f>
        <v>7141700</v>
      </c>
      <c r="D31" s="4">
        <f t="shared" ref="D31:L31" si="1">+D28+D29+D30</f>
        <v>7924600</v>
      </c>
      <c r="E31" s="4">
        <f t="shared" si="1"/>
        <v>7918100</v>
      </c>
      <c r="F31" s="4">
        <f t="shared" si="1"/>
        <v>7554100</v>
      </c>
      <c r="G31" s="4">
        <f>+G28+G29+G30</f>
        <v>7954800</v>
      </c>
      <c r="H31" s="4">
        <f t="shared" si="1"/>
        <v>7760800</v>
      </c>
      <c r="I31" s="4">
        <f t="shared" si="1"/>
        <v>7545500</v>
      </c>
      <c r="J31" s="4">
        <f t="shared" si="1"/>
        <v>7460400</v>
      </c>
      <c r="K31" s="4">
        <f t="shared" si="1"/>
        <v>9553300</v>
      </c>
      <c r="L31" s="4">
        <f t="shared" si="1"/>
        <v>8646500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1111-F42E-41A8-99D6-BBA016077D61}">
  <dimension ref="A1:O35"/>
  <sheetViews>
    <sheetView topLeftCell="A13" zoomScale="90" zoomScaleNormal="90" workbookViewId="0">
      <selection activeCell="L29" sqref="L29"/>
    </sheetView>
  </sheetViews>
  <sheetFormatPr baseColWidth="10" defaultRowHeight="15" x14ac:dyDescent="0.25"/>
  <cols>
    <col min="1" max="2" width="15.42578125" bestFit="1" customWidth="1"/>
    <col min="3" max="3" width="15.42578125" style="1" bestFit="1" customWidth="1"/>
    <col min="4" max="10" width="15.42578125" bestFit="1" customWidth="1"/>
    <col min="11" max="11" width="16.42578125" bestFit="1" customWidth="1"/>
    <col min="12" max="12" width="15.42578125" bestFit="1" customWidth="1"/>
    <col min="13" max="15" width="6.85546875" bestFit="1" customWidth="1"/>
  </cols>
  <sheetData>
    <row r="1" spans="1:12" x14ac:dyDescent="0.25">
      <c r="A1" t="s">
        <v>29</v>
      </c>
      <c r="B1" t="s">
        <v>30</v>
      </c>
      <c r="C1" t="s">
        <v>10</v>
      </c>
      <c r="D1" t="s">
        <v>17</v>
      </c>
      <c r="E1" t="s">
        <v>19</v>
      </c>
      <c r="F1" t="s">
        <v>20</v>
      </c>
      <c r="G1" t="s">
        <v>18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s="1" customFormat="1" x14ac:dyDescent="0.25">
      <c r="A2" s="1">
        <v>186000</v>
      </c>
      <c r="B2" s="1">
        <v>234200</v>
      </c>
      <c r="C2" s="1">
        <v>353900</v>
      </c>
      <c r="D2" s="1">
        <v>551500</v>
      </c>
      <c r="E2" s="1">
        <v>338800</v>
      </c>
      <c r="F2" s="1">
        <v>368700</v>
      </c>
      <c r="G2" s="1">
        <v>362200</v>
      </c>
      <c r="H2" s="1">
        <v>331400</v>
      </c>
      <c r="I2" s="1">
        <v>318900</v>
      </c>
      <c r="J2" s="1">
        <v>178400</v>
      </c>
      <c r="K2" s="1">
        <v>869700</v>
      </c>
      <c r="L2" s="1">
        <v>129700</v>
      </c>
    </row>
    <row r="3" spans="1:12" s="1" customFormat="1" x14ac:dyDescent="0.25">
      <c r="A3" s="1">
        <v>906000</v>
      </c>
      <c r="B3" s="1">
        <v>436900</v>
      </c>
      <c r="C3" s="1">
        <v>593200</v>
      </c>
      <c r="D3" s="1">
        <v>222250</v>
      </c>
      <c r="E3" s="1">
        <v>246000</v>
      </c>
      <c r="F3" s="1">
        <v>389200</v>
      </c>
      <c r="G3" s="1">
        <v>363600</v>
      </c>
      <c r="H3" s="1">
        <v>457400</v>
      </c>
      <c r="I3" s="1">
        <v>881700</v>
      </c>
      <c r="J3" s="1">
        <v>497700</v>
      </c>
      <c r="K3" s="1">
        <v>568000</v>
      </c>
      <c r="L3" s="1">
        <v>566700</v>
      </c>
    </row>
    <row r="4" spans="1:12" s="1" customFormat="1" x14ac:dyDescent="0.25">
      <c r="A4" s="1">
        <v>519000</v>
      </c>
      <c r="B4" s="1">
        <v>423800</v>
      </c>
      <c r="C4" s="1">
        <v>275500</v>
      </c>
      <c r="D4" s="1">
        <v>356350</v>
      </c>
      <c r="E4" s="1">
        <v>360000</v>
      </c>
      <c r="F4" s="1">
        <v>564300</v>
      </c>
      <c r="G4" s="1">
        <v>322800</v>
      </c>
      <c r="H4" s="1">
        <v>256200</v>
      </c>
      <c r="I4" s="1">
        <v>359200</v>
      </c>
      <c r="J4" s="1">
        <v>520100</v>
      </c>
      <c r="K4" s="1">
        <v>434500</v>
      </c>
      <c r="L4" s="1">
        <v>606800</v>
      </c>
    </row>
    <row r="5" spans="1:12" s="1" customFormat="1" x14ac:dyDescent="0.25">
      <c r="A5" s="1">
        <v>319500</v>
      </c>
      <c r="B5" s="1">
        <v>256700</v>
      </c>
      <c r="C5" s="1">
        <v>374400</v>
      </c>
      <c r="D5" s="1">
        <v>244950</v>
      </c>
      <c r="E5" s="1">
        <v>659350</v>
      </c>
      <c r="F5" s="1">
        <v>386500</v>
      </c>
      <c r="G5" s="1">
        <v>661900</v>
      </c>
      <c r="H5" s="1">
        <v>202400</v>
      </c>
      <c r="I5" s="1">
        <v>376500</v>
      </c>
      <c r="J5" s="1">
        <v>270000</v>
      </c>
      <c r="K5" s="1">
        <v>649800</v>
      </c>
      <c r="L5" s="1">
        <v>415900</v>
      </c>
    </row>
    <row r="6" spans="1:12" s="1" customFormat="1" x14ac:dyDescent="0.25">
      <c r="A6" s="1">
        <v>322000</v>
      </c>
      <c r="B6" s="1">
        <v>336100</v>
      </c>
      <c r="C6" s="1">
        <v>434500</v>
      </c>
      <c r="D6" s="1">
        <v>241000</v>
      </c>
      <c r="E6" s="1">
        <v>574650</v>
      </c>
      <c r="F6" s="1">
        <v>263800</v>
      </c>
      <c r="G6" s="1">
        <v>312300</v>
      </c>
      <c r="H6" s="1">
        <v>774200</v>
      </c>
      <c r="I6" s="1">
        <v>300500</v>
      </c>
      <c r="J6" s="1">
        <v>282800</v>
      </c>
      <c r="K6" s="1">
        <v>411300</v>
      </c>
      <c r="L6" s="1">
        <v>494500</v>
      </c>
    </row>
    <row r="7" spans="1:12" s="1" customFormat="1" x14ac:dyDescent="0.25">
      <c r="A7" s="1">
        <v>447200</v>
      </c>
      <c r="B7" s="1">
        <v>336700</v>
      </c>
      <c r="C7" s="1">
        <v>370200</v>
      </c>
      <c r="D7" s="1">
        <v>529500</v>
      </c>
      <c r="E7" s="1">
        <v>260600</v>
      </c>
      <c r="F7" s="1">
        <v>510300</v>
      </c>
      <c r="G7" s="1">
        <v>869200</v>
      </c>
      <c r="H7" s="1">
        <v>293800</v>
      </c>
      <c r="I7" s="1">
        <v>253100</v>
      </c>
      <c r="J7" s="1">
        <v>212300</v>
      </c>
      <c r="K7" s="1">
        <v>479900</v>
      </c>
      <c r="L7" s="1">
        <v>257800</v>
      </c>
    </row>
    <row r="8" spans="1:12" s="1" customFormat="1" x14ac:dyDescent="0.25">
      <c r="A8" s="1">
        <v>345800</v>
      </c>
      <c r="B8" s="1">
        <v>162000</v>
      </c>
      <c r="C8" s="1">
        <v>247900</v>
      </c>
      <c r="D8" s="1">
        <v>407900</v>
      </c>
      <c r="E8" s="1">
        <v>245600</v>
      </c>
      <c r="F8" s="1">
        <v>351100</v>
      </c>
      <c r="G8" s="1">
        <v>174600</v>
      </c>
      <c r="H8" s="1">
        <v>302300</v>
      </c>
      <c r="I8" s="1">
        <v>186400</v>
      </c>
      <c r="J8" s="1">
        <v>941100</v>
      </c>
      <c r="K8" s="1">
        <v>641800</v>
      </c>
      <c r="L8" s="1">
        <v>184800</v>
      </c>
    </row>
    <row r="9" spans="1:12" s="1" customFormat="1" x14ac:dyDescent="0.25">
      <c r="A9" s="1">
        <v>545000</v>
      </c>
      <c r="B9" s="1">
        <v>245500</v>
      </c>
      <c r="C9" s="1">
        <v>752600</v>
      </c>
      <c r="D9" s="1">
        <v>507400</v>
      </c>
      <c r="E9" s="1">
        <v>306550</v>
      </c>
      <c r="F9" s="1">
        <v>264800</v>
      </c>
      <c r="G9" s="1">
        <v>357600</v>
      </c>
      <c r="H9" s="1">
        <v>218000</v>
      </c>
      <c r="I9" s="1">
        <v>118600</v>
      </c>
      <c r="J9" s="1">
        <v>233800</v>
      </c>
      <c r="K9" s="1">
        <v>591900</v>
      </c>
      <c r="L9" s="1">
        <v>98000</v>
      </c>
    </row>
    <row r="10" spans="1:12" s="1" customFormat="1" x14ac:dyDescent="0.25">
      <c r="A10" s="1">
        <v>153600</v>
      </c>
      <c r="B10" s="1">
        <v>340700</v>
      </c>
      <c r="C10" s="1">
        <v>339600</v>
      </c>
      <c r="D10" s="1">
        <v>305300</v>
      </c>
      <c r="E10" s="1">
        <v>317100</v>
      </c>
      <c r="F10" s="1">
        <v>259300</v>
      </c>
      <c r="G10" s="1">
        <v>265000</v>
      </c>
      <c r="H10" s="1">
        <v>453900</v>
      </c>
      <c r="I10" s="1">
        <v>642100</v>
      </c>
      <c r="J10" s="1">
        <v>432000</v>
      </c>
      <c r="K10" s="1">
        <v>305900</v>
      </c>
      <c r="L10" s="1">
        <v>304000</v>
      </c>
    </row>
    <row r="11" spans="1:12" s="1" customFormat="1" x14ac:dyDescent="0.25">
      <c r="A11" s="1">
        <v>443900</v>
      </c>
      <c r="B11" s="1">
        <v>226400</v>
      </c>
      <c r="C11" s="1">
        <v>290900</v>
      </c>
      <c r="D11" s="1">
        <v>288200</v>
      </c>
      <c r="E11" s="1">
        <v>286500</v>
      </c>
      <c r="F11" s="1">
        <v>400300</v>
      </c>
      <c r="G11" s="1">
        <v>480900</v>
      </c>
      <c r="H11" s="1">
        <v>142900</v>
      </c>
      <c r="I11" s="1">
        <v>202600</v>
      </c>
      <c r="J11" s="1">
        <v>208000</v>
      </c>
      <c r="K11" s="1">
        <v>619700</v>
      </c>
      <c r="L11" s="1">
        <v>344400</v>
      </c>
    </row>
    <row r="12" spans="1:12" s="1" customFormat="1" x14ac:dyDescent="0.25">
      <c r="A12" s="1">
        <v>359500</v>
      </c>
      <c r="B12" s="1">
        <v>223200</v>
      </c>
      <c r="C12" s="1">
        <v>151300</v>
      </c>
      <c r="D12" s="1">
        <v>334950</v>
      </c>
      <c r="E12" s="1">
        <v>328300</v>
      </c>
      <c r="F12" s="1">
        <v>438100</v>
      </c>
      <c r="G12" s="1">
        <v>314500</v>
      </c>
      <c r="H12" s="1">
        <v>383200</v>
      </c>
      <c r="I12" s="1">
        <v>383700</v>
      </c>
      <c r="J12" s="1">
        <v>436100</v>
      </c>
      <c r="K12" s="1">
        <v>298700</v>
      </c>
      <c r="L12" s="1">
        <v>398800</v>
      </c>
    </row>
    <row r="13" spans="1:12" s="1" customFormat="1" x14ac:dyDescent="0.25">
      <c r="B13" s="1">
        <v>173100</v>
      </c>
      <c r="C13" s="1">
        <v>131100</v>
      </c>
      <c r="D13" s="1">
        <v>413500</v>
      </c>
      <c r="E13" s="1">
        <v>148900</v>
      </c>
      <c r="F13" s="1">
        <v>172100</v>
      </c>
      <c r="G13" s="1">
        <v>87400</v>
      </c>
      <c r="H13" s="1">
        <v>393200</v>
      </c>
      <c r="I13" s="1">
        <v>293900</v>
      </c>
      <c r="J13" s="1">
        <v>284800</v>
      </c>
      <c r="K13" s="1">
        <v>734000</v>
      </c>
      <c r="L13" s="1">
        <v>297000</v>
      </c>
    </row>
    <row r="14" spans="1:12" s="1" customFormat="1" x14ac:dyDescent="0.25">
      <c r="B14" s="1">
        <v>204200</v>
      </c>
      <c r="C14" s="1">
        <v>358300</v>
      </c>
      <c r="D14" s="1">
        <v>392800</v>
      </c>
      <c r="E14" s="1">
        <v>500900</v>
      </c>
      <c r="F14" s="1">
        <v>362600</v>
      </c>
      <c r="G14" s="1">
        <v>147500</v>
      </c>
      <c r="H14" s="1">
        <v>402200</v>
      </c>
      <c r="I14" s="1">
        <v>433200</v>
      </c>
      <c r="J14" s="1">
        <v>251500</v>
      </c>
      <c r="K14" s="1">
        <v>117300</v>
      </c>
      <c r="L14" s="1">
        <v>462700</v>
      </c>
    </row>
    <row r="15" spans="1:12" s="1" customFormat="1" x14ac:dyDescent="0.25">
      <c r="B15" s="1">
        <v>221800</v>
      </c>
      <c r="C15" s="1">
        <v>416700</v>
      </c>
      <c r="D15" s="1">
        <v>95000</v>
      </c>
      <c r="E15" s="1">
        <v>321700</v>
      </c>
      <c r="F15" s="1">
        <v>240600</v>
      </c>
      <c r="G15" s="1">
        <v>706400</v>
      </c>
      <c r="H15" s="1">
        <v>347000</v>
      </c>
      <c r="I15" s="1">
        <v>354000</v>
      </c>
      <c r="J15" s="1">
        <v>488300</v>
      </c>
      <c r="K15" s="1">
        <v>374500</v>
      </c>
      <c r="L15" s="1">
        <v>869100</v>
      </c>
    </row>
    <row r="16" spans="1:12" s="1" customFormat="1" x14ac:dyDescent="0.25">
      <c r="B16" s="1">
        <v>404800</v>
      </c>
      <c r="C16" s="1">
        <v>463900</v>
      </c>
      <c r="D16" s="1">
        <v>256000</v>
      </c>
      <c r="E16" s="1">
        <v>221400</v>
      </c>
      <c r="F16" s="1">
        <v>292100</v>
      </c>
      <c r="G16" s="1">
        <v>346400</v>
      </c>
      <c r="H16" s="1">
        <v>521400</v>
      </c>
      <c r="I16" s="1">
        <v>468200</v>
      </c>
      <c r="J16" s="1">
        <v>278200</v>
      </c>
      <c r="K16" s="1">
        <v>350400</v>
      </c>
      <c r="L16" s="1">
        <v>464200</v>
      </c>
    </row>
    <row r="17" spans="1:15" s="1" customFormat="1" x14ac:dyDescent="0.25">
      <c r="B17" s="1">
        <v>170300</v>
      </c>
      <c r="C17" s="1">
        <v>392200</v>
      </c>
      <c r="D17" s="1">
        <v>250100</v>
      </c>
      <c r="E17" s="1">
        <v>535250</v>
      </c>
      <c r="F17" s="1">
        <v>368800</v>
      </c>
      <c r="G17" s="1">
        <v>251600</v>
      </c>
      <c r="H17" s="1">
        <v>440900</v>
      </c>
      <c r="I17" s="1">
        <v>263000</v>
      </c>
      <c r="J17" s="1">
        <v>365500</v>
      </c>
      <c r="K17" s="1">
        <v>373500</v>
      </c>
      <c r="L17" s="1">
        <v>511700</v>
      </c>
    </row>
    <row r="18" spans="1:15" s="1" customFormat="1" x14ac:dyDescent="0.25">
      <c r="B18" s="1">
        <v>276500</v>
      </c>
      <c r="C18" s="1">
        <v>187000</v>
      </c>
      <c r="D18" s="1">
        <v>255400</v>
      </c>
      <c r="E18" s="1">
        <v>219000</v>
      </c>
      <c r="F18" s="1">
        <v>294000</v>
      </c>
      <c r="G18" s="1">
        <v>448800</v>
      </c>
      <c r="H18" s="1">
        <v>226800</v>
      </c>
      <c r="I18" s="1">
        <v>223500</v>
      </c>
      <c r="J18" s="1">
        <v>514600</v>
      </c>
      <c r="K18" s="1">
        <v>411700</v>
      </c>
      <c r="L18" s="1">
        <v>557700</v>
      </c>
    </row>
    <row r="19" spans="1:15" s="1" customFormat="1" x14ac:dyDescent="0.25">
      <c r="B19" s="1">
        <v>294500</v>
      </c>
      <c r="C19" s="1">
        <v>203300</v>
      </c>
      <c r="D19" s="1">
        <v>223200</v>
      </c>
      <c r="E19" s="1">
        <v>214550</v>
      </c>
      <c r="F19" s="1">
        <v>257900</v>
      </c>
      <c r="G19" s="1">
        <v>265800</v>
      </c>
      <c r="H19" s="1">
        <v>482300</v>
      </c>
      <c r="I19" s="1">
        <v>283700</v>
      </c>
      <c r="J19" s="1">
        <v>248800</v>
      </c>
      <c r="K19" s="1">
        <v>721400</v>
      </c>
    </row>
    <row r="20" spans="1:15" s="1" customFormat="1" x14ac:dyDescent="0.25">
      <c r="B20" s="1">
        <v>302600</v>
      </c>
      <c r="C20" s="1">
        <v>333000</v>
      </c>
      <c r="D20" s="1">
        <v>240000</v>
      </c>
      <c r="E20" s="1">
        <v>144100</v>
      </c>
      <c r="F20" s="1">
        <v>336800</v>
      </c>
      <c r="G20" s="1">
        <v>185300</v>
      </c>
      <c r="H20" s="1">
        <v>511200</v>
      </c>
      <c r="I20" s="1">
        <v>630000</v>
      </c>
      <c r="J20" s="1">
        <v>385400</v>
      </c>
      <c r="K20" s="1">
        <v>465200</v>
      </c>
    </row>
    <row r="21" spans="1:15" s="1" customFormat="1" x14ac:dyDescent="0.25">
      <c r="B21" s="1">
        <v>291100</v>
      </c>
      <c r="C21" s="1">
        <v>320700</v>
      </c>
      <c r="D21" s="1">
        <v>283100</v>
      </c>
      <c r="E21" s="1">
        <v>484300</v>
      </c>
      <c r="F21" s="1">
        <v>329100</v>
      </c>
      <c r="G21" s="1">
        <v>243500</v>
      </c>
      <c r="H21" s="1">
        <v>325200</v>
      </c>
      <c r="I21" s="1">
        <v>341300</v>
      </c>
      <c r="J21" s="1">
        <v>554600</v>
      </c>
      <c r="K21" s="1">
        <v>696000</v>
      </c>
    </row>
    <row r="22" spans="1:15" s="1" customFormat="1" x14ac:dyDescent="0.25">
      <c r="B22" s="1">
        <v>332600</v>
      </c>
      <c r="C22" s="1">
        <v>284000</v>
      </c>
      <c r="D22" s="1">
        <v>348200</v>
      </c>
      <c r="E22" s="1">
        <v>493600</v>
      </c>
      <c r="F22" s="1">
        <v>296700</v>
      </c>
      <c r="G22" s="1">
        <v>512400</v>
      </c>
      <c r="H22" s="1">
        <v>223000</v>
      </c>
      <c r="I22" s="1">
        <v>238700</v>
      </c>
      <c r="J22" s="1">
        <v>204600</v>
      </c>
      <c r="K22" s="1">
        <v>275900</v>
      </c>
    </row>
    <row r="23" spans="1:15" s="1" customFormat="1" x14ac:dyDescent="0.25">
      <c r="B23" s="1">
        <v>556600</v>
      </c>
      <c r="C23" s="1">
        <v>373000</v>
      </c>
      <c r="D23" s="1">
        <v>341000</v>
      </c>
      <c r="E23" s="1">
        <v>281000</v>
      </c>
      <c r="F23" s="1">
        <v>174200</v>
      </c>
      <c r="G23" s="1">
        <v>430000</v>
      </c>
      <c r="H23" s="1">
        <v>305200</v>
      </c>
      <c r="I23" s="1">
        <v>367200</v>
      </c>
      <c r="J23" s="1">
        <v>168400</v>
      </c>
      <c r="K23" s="1">
        <v>656400</v>
      </c>
    </row>
    <row r="24" spans="1:15" s="1" customFormat="1" x14ac:dyDescent="0.25">
      <c r="B24" s="1">
        <v>281800</v>
      </c>
      <c r="D24" s="1">
        <v>732000</v>
      </c>
      <c r="E24" s="1">
        <v>102600</v>
      </c>
      <c r="F24" s="1">
        <v>315000</v>
      </c>
      <c r="G24" s="1">
        <v>241300</v>
      </c>
      <c r="H24" s="1">
        <v>548200</v>
      </c>
      <c r="I24" s="1">
        <v>246000</v>
      </c>
      <c r="J24" s="1">
        <v>683600</v>
      </c>
      <c r="K24" s="1">
        <v>745500</v>
      </c>
    </row>
    <row r="25" spans="1:15" s="1" customFormat="1" x14ac:dyDescent="0.25">
      <c r="B25" s="1">
        <v>228400</v>
      </c>
      <c r="D25" s="1">
        <v>391600</v>
      </c>
      <c r="E25" s="1">
        <v>391000</v>
      </c>
      <c r="G25" s="1">
        <v>128400</v>
      </c>
      <c r="H25" s="1">
        <v>227300</v>
      </c>
      <c r="I25" s="1">
        <v>128300</v>
      </c>
      <c r="J25" s="1">
        <v>558400</v>
      </c>
    </row>
    <row r="26" spans="1:15" s="1" customFormat="1" x14ac:dyDescent="0.25">
      <c r="B26" s="1">
        <v>331200</v>
      </c>
      <c r="D26" s="1">
        <v>224000</v>
      </c>
      <c r="E26" s="1">
        <v>369500</v>
      </c>
      <c r="G26" s="1">
        <v>547700</v>
      </c>
      <c r="H26" s="1">
        <v>448000</v>
      </c>
      <c r="I26" s="1">
        <v>281800</v>
      </c>
      <c r="J26" s="1">
        <v>158700</v>
      </c>
    </row>
    <row r="27" spans="1:15" s="1" customFormat="1" x14ac:dyDescent="0.25">
      <c r="D27" s="1">
        <v>334750</v>
      </c>
      <c r="G27" s="1">
        <v>156800</v>
      </c>
      <c r="J27" s="1">
        <v>164000</v>
      </c>
    </row>
    <row r="28" spans="1:15" s="1" customFormat="1" x14ac:dyDescent="0.25">
      <c r="G28" s="1">
        <v>339300</v>
      </c>
    </row>
    <row r="29" spans="1:15" s="4" customFormat="1" x14ac:dyDescent="0.25">
      <c r="A29" s="4">
        <f>+SUM(A2:A28)</f>
        <v>4547500</v>
      </c>
      <c r="B29" s="4">
        <f>+SUM(B2:B28)</f>
        <v>7291700</v>
      </c>
      <c r="C29" s="4">
        <f t="shared" ref="C29:O29" si="0">+SUM(C2:C28)</f>
        <v>7647200</v>
      </c>
      <c r="D29" s="4">
        <f t="shared" si="0"/>
        <v>8769950</v>
      </c>
      <c r="E29" s="4">
        <f t="shared" si="0"/>
        <v>8351250</v>
      </c>
      <c r="F29" s="4">
        <f t="shared" si="0"/>
        <v>7636300</v>
      </c>
      <c r="G29" s="4">
        <f t="shared" si="0"/>
        <v>9523200</v>
      </c>
      <c r="H29" s="4">
        <f t="shared" si="0"/>
        <v>9217600</v>
      </c>
      <c r="I29" s="4">
        <f t="shared" si="0"/>
        <v>8576100</v>
      </c>
      <c r="J29" s="4">
        <f t="shared" si="0"/>
        <v>9521700</v>
      </c>
      <c r="K29" s="4">
        <f t="shared" si="0"/>
        <v>11793000</v>
      </c>
      <c r="L29" s="4">
        <f t="shared" si="0"/>
        <v>6963800</v>
      </c>
      <c r="M29" s="4">
        <f t="shared" si="0"/>
        <v>0</v>
      </c>
      <c r="N29" s="4">
        <f t="shared" si="0"/>
        <v>0</v>
      </c>
      <c r="O29" s="4">
        <f t="shared" si="0"/>
        <v>0</v>
      </c>
    </row>
    <row r="30" spans="1:15" s="1" customFormat="1" x14ac:dyDescent="0.25"/>
    <row r="31" spans="1:15" s="1" customFormat="1" x14ac:dyDescent="0.25"/>
    <row r="32" spans="1:15" s="1" customFormat="1" x14ac:dyDescent="0.25"/>
    <row r="33" s="1" customFormat="1" x14ac:dyDescent="0.25"/>
    <row r="34" s="1" customFormat="1" x14ac:dyDescent="0.25"/>
    <row r="35" s="1" customForma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EA11-5CD6-482B-A837-003B4DE5F781}">
  <dimension ref="A1:N10"/>
  <sheetViews>
    <sheetView tabSelected="1" zoomScaleNormal="100" workbookViewId="0">
      <selection activeCell="L8" sqref="L8"/>
    </sheetView>
  </sheetViews>
  <sheetFormatPr baseColWidth="10" defaultRowHeight="15" x14ac:dyDescent="0.25"/>
  <cols>
    <col min="1" max="1" width="9.42578125" bestFit="1" customWidth="1"/>
    <col min="2" max="10" width="14.5703125" bestFit="1" customWidth="1"/>
    <col min="11" max="11" width="15.140625" bestFit="1" customWidth="1"/>
    <col min="12" max="12" width="15.5703125" bestFit="1" customWidth="1"/>
    <col min="13" max="13" width="14.5703125" bestFit="1" customWidth="1"/>
    <col min="14" max="14" width="14.7109375" bestFit="1" customWidth="1"/>
  </cols>
  <sheetData>
    <row r="1" spans="1:14" x14ac:dyDescent="0.25">
      <c r="A1" t="s">
        <v>8</v>
      </c>
      <c r="B1" t="s">
        <v>29</v>
      </c>
      <c r="C1" t="s">
        <v>30</v>
      </c>
      <c r="D1" t="s">
        <v>10</v>
      </c>
      <c r="E1" t="s">
        <v>17</v>
      </c>
      <c r="F1" t="s">
        <v>19</v>
      </c>
      <c r="G1" t="s">
        <v>20</v>
      </c>
      <c r="H1" t="s">
        <v>18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4" x14ac:dyDescent="0.25">
      <c r="A2" t="s">
        <v>14</v>
      </c>
      <c r="B2" s="2">
        <f>+Gastos!A31</f>
        <v>6331300</v>
      </c>
      <c r="C2" s="2">
        <f>+Gastos!B31</f>
        <v>7340200</v>
      </c>
      <c r="D2" s="2">
        <f>+Gastos!C31</f>
        <v>7141700</v>
      </c>
      <c r="E2" s="2">
        <f>+Gastos!D31</f>
        <v>7924600</v>
      </c>
      <c r="F2" s="2">
        <f>+Gastos!E31</f>
        <v>7918100</v>
      </c>
      <c r="G2" s="2">
        <f>+Gastos!F31</f>
        <v>7554100</v>
      </c>
      <c r="H2" s="2">
        <f>+Gastos!G31</f>
        <v>7954800</v>
      </c>
      <c r="I2" s="2">
        <f>+Gastos!H31</f>
        <v>7760800</v>
      </c>
      <c r="J2" s="2">
        <f>+Gastos!I31</f>
        <v>7545500</v>
      </c>
      <c r="K2" s="2">
        <f>+Gastos!J31</f>
        <v>7460400</v>
      </c>
      <c r="L2" s="2">
        <f>+Gastos!K31</f>
        <v>9553300</v>
      </c>
      <c r="M2" s="2">
        <f>+Gastos!L31</f>
        <v>8646500</v>
      </c>
    </row>
    <row r="3" spans="1:14" x14ac:dyDescent="0.25">
      <c r="A3" t="s">
        <v>15</v>
      </c>
      <c r="B3" s="2">
        <f>+Ingreso!A29</f>
        <v>4547500</v>
      </c>
      <c r="C3" s="2">
        <f>+Ingreso!B29</f>
        <v>7291700</v>
      </c>
      <c r="D3" s="2">
        <f>+Ingreso!C29</f>
        <v>7647200</v>
      </c>
      <c r="E3" s="2">
        <f>+Ingreso!D29</f>
        <v>8769950</v>
      </c>
      <c r="F3" s="2">
        <f>+Ingreso!E29</f>
        <v>8351250</v>
      </c>
      <c r="G3" s="2">
        <f>+Ingreso!F29</f>
        <v>7636300</v>
      </c>
      <c r="H3" s="2">
        <f>+Ingreso!G29</f>
        <v>9523200</v>
      </c>
      <c r="I3" s="2">
        <f>+Ingreso!H29</f>
        <v>9217600</v>
      </c>
      <c r="J3" s="2">
        <f>+Ingreso!I29</f>
        <v>8576100</v>
      </c>
      <c r="K3" s="2">
        <f>+Ingreso!J29</f>
        <v>9521700</v>
      </c>
      <c r="L3" s="2">
        <f>+Ingreso!K29</f>
        <v>11793000</v>
      </c>
      <c r="M3" s="2">
        <f>+Ingreso!L29</f>
        <v>6963800</v>
      </c>
    </row>
    <row r="4" spans="1:14" s="26" customFormat="1" x14ac:dyDescent="0.25">
      <c r="A4" s="26" t="s">
        <v>16</v>
      </c>
      <c r="B4" s="27">
        <f t="shared" ref="B4:C4" si="0">+B3-B2</f>
        <v>-1783800</v>
      </c>
      <c r="C4" s="27">
        <f t="shared" si="0"/>
        <v>-48500</v>
      </c>
      <c r="D4" s="27">
        <f>+D3-D2</f>
        <v>505500</v>
      </c>
      <c r="E4" s="27">
        <f t="shared" ref="E4:M4" si="1">+E3-E2</f>
        <v>845350</v>
      </c>
      <c r="F4" s="27">
        <f t="shared" si="1"/>
        <v>433150</v>
      </c>
      <c r="G4" s="27">
        <f t="shared" si="1"/>
        <v>82200</v>
      </c>
      <c r="H4" s="27">
        <f>+H3-H2</f>
        <v>1568400</v>
      </c>
      <c r="I4" s="27">
        <f>+I3-I2</f>
        <v>1456800</v>
      </c>
      <c r="J4" s="27">
        <f t="shared" si="1"/>
        <v>1030600</v>
      </c>
      <c r="K4" s="27">
        <f t="shared" si="1"/>
        <v>2061300</v>
      </c>
      <c r="L4" s="27">
        <f t="shared" si="1"/>
        <v>2239700</v>
      </c>
      <c r="M4" s="27">
        <f t="shared" si="1"/>
        <v>-1682700</v>
      </c>
    </row>
    <row r="5" spans="1:14" x14ac:dyDescent="0.25">
      <c r="A5" t="s">
        <v>52</v>
      </c>
      <c r="B5" s="37">
        <f>(B3/B2)-1</f>
        <v>-0.28174308593811692</v>
      </c>
      <c r="C5" s="37">
        <f t="shared" ref="C5:I5" si="2">(C3/C2)-1</f>
        <v>-6.6074493883000462E-3</v>
      </c>
      <c r="D5" s="37">
        <f t="shared" si="2"/>
        <v>7.0781466597588771E-2</v>
      </c>
      <c r="E5" s="37">
        <f t="shared" si="2"/>
        <v>0.10667415390051227</v>
      </c>
      <c r="F5" s="37">
        <f t="shared" si="2"/>
        <v>5.4703779947209652E-2</v>
      </c>
      <c r="G5" s="37">
        <f t="shared" si="2"/>
        <v>1.0881508055228251E-2</v>
      </c>
      <c r="H5" s="37">
        <f t="shared" si="2"/>
        <v>0.19716397646703876</v>
      </c>
      <c r="I5" s="37">
        <f t="shared" si="2"/>
        <v>0.18771260694773728</v>
      </c>
      <c r="J5" s="37">
        <f>(J3/J2)-1</f>
        <v>0.1365847193691605</v>
      </c>
      <c r="K5" s="37">
        <f>(K3/K2)-1</f>
        <v>0.27629885797008202</v>
      </c>
      <c r="L5" s="37">
        <f>(L3/L2)-1</f>
        <v>0.2344425486481112</v>
      </c>
      <c r="M5" s="37">
        <f>(M3/M2)-1</f>
        <v>-0.19461053605505119</v>
      </c>
      <c r="N5" s="2"/>
    </row>
    <row r="6" spans="1:14" x14ac:dyDescent="0.25">
      <c r="B6" s="36"/>
      <c r="C6" s="36"/>
      <c r="D6" s="36"/>
      <c r="E6" s="36"/>
      <c r="F6" s="36"/>
      <c r="G6" s="36"/>
      <c r="H6" s="36"/>
      <c r="I6" s="36"/>
      <c r="J6" s="36"/>
    </row>
    <row r="7" spans="1:14" x14ac:dyDescent="0.25">
      <c r="I7" s="35"/>
      <c r="K7" s="35">
        <f>+L2-K2</f>
        <v>2092900</v>
      </c>
      <c r="L7" s="38">
        <f>+K2*100/L2</f>
        <v>78.092386923890174</v>
      </c>
      <c r="M7">
        <f>100-L7</f>
        <v>21.907613076109826</v>
      </c>
    </row>
    <row r="8" spans="1:14" x14ac:dyDescent="0.25">
      <c r="B8" s="1">
        <f>+K2/26</f>
        <v>286938.46153846156</v>
      </c>
      <c r="K8" s="35">
        <f>+L3-K3</f>
        <v>2271300</v>
      </c>
      <c r="L8" s="38">
        <f>+K3*100/L3</f>
        <v>80.740269651488177</v>
      </c>
      <c r="M8">
        <f>100-L8</f>
        <v>19.259730348511823</v>
      </c>
    </row>
    <row r="9" spans="1:14" x14ac:dyDescent="0.25">
      <c r="B9" s="2">
        <f>+L2/26</f>
        <v>367434.61538461538</v>
      </c>
      <c r="K9" s="35">
        <f>+K8-K7</f>
        <v>178400</v>
      </c>
      <c r="L9" s="35"/>
    </row>
    <row r="10" spans="1:14" x14ac:dyDescent="0.25">
      <c r="B10" s="1">
        <f>10000000/26</f>
        <v>384615.38461538462</v>
      </c>
      <c r="D10" s="2"/>
      <c r="J10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9689-959F-4FE0-990A-C406F9247747}">
  <dimension ref="A1:W27"/>
  <sheetViews>
    <sheetView topLeftCell="A4" zoomScale="80" zoomScaleNormal="80" workbookViewId="0">
      <selection activeCell="Q1" sqref="Q1:W1"/>
    </sheetView>
  </sheetViews>
  <sheetFormatPr baseColWidth="10" defaultRowHeight="15" x14ac:dyDescent="0.25"/>
  <cols>
    <col min="2" max="2" width="12.85546875" bestFit="1" customWidth="1"/>
    <col min="3" max="3" width="15" customWidth="1"/>
    <col min="4" max="4" width="12" customWidth="1"/>
    <col min="5" max="5" width="15" customWidth="1"/>
    <col min="6" max="6" width="14.42578125" customWidth="1"/>
    <col min="7" max="7" width="13.5703125" bestFit="1" customWidth="1"/>
    <col min="10" max="10" width="13.42578125" customWidth="1"/>
    <col min="11" max="11" width="16.5703125" bestFit="1" customWidth="1"/>
    <col min="12" max="12" width="15.5703125" bestFit="1" customWidth="1"/>
    <col min="13" max="13" width="14.42578125" bestFit="1" customWidth="1"/>
    <col min="14" max="14" width="18.42578125" bestFit="1" customWidth="1"/>
    <col min="15" max="15" width="14.42578125" bestFit="1" customWidth="1"/>
    <col min="18" max="18" width="12.85546875" bestFit="1" customWidth="1"/>
    <col min="19" max="19" width="14.42578125" bestFit="1" customWidth="1"/>
    <col min="20" max="20" width="12.85546875" bestFit="1" customWidth="1"/>
    <col min="21" max="21" width="15.5703125" bestFit="1" customWidth="1"/>
    <col min="22" max="22" width="11.42578125" customWidth="1"/>
    <col min="23" max="23" width="11.140625" customWidth="1"/>
  </cols>
  <sheetData>
    <row r="1" spans="1:23" x14ac:dyDescent="0.25">
      <c r="A1" s="66" t="s">
        <v>60</v>
      </c>
      <c r="B1" s="66"/>
      <c r="C1" s="66"/>
      <c r="D1" s="66"/>
      <c r="E1" s="66"/>
      <c r="F1" s="66"/>
      <c r="G1" s="66"/>
      <c r="I1" s="66" t="s">
        <v>61</v>
      </c>
      <c r="J1" s="66"/>
      <c r="K1" s="66"/>
      <c r="L1" s="66"/>
      <c r="M1" s="66"/>
      <c r="N1" s="66"/>
      <c r="O1" s="66"/>
      <c r="Q1" s="66" t="s">
        <v>57</v>
      </c>
      <c r="R1" s="66"/>
      <c r="S1" s="66"/>
      <c r="T1" s="66"/>
      <c r="U1" s="66"/>
      <c r="V1" s="66"/>
      <c r="W1" s="66"/>
    </row>
    <row r="2" spans="1:23" x14ac:dyDescent="0.25">
      <c r="A2" s="28" t="s">
        <v>50</v>
      </c>
      <c r="B2" s="28" t="s">
        <v>3</v>
      </c>
      <c r="C2" s="28" t="s">
        <v>46</v>
      </c>
      <c r="D2" s="28" t="s">
        <v>49</v>
      </c>
      <c r="E2" s="28" t="s">
        <v>48</v>
      </c>
      <c r="F2" s="28" t="s">
        <v>47</v>
      </c>
      <c r="G2" s="28" t="s">
        <v>56</v>
      </c>
      <c r="I2" s="28" t="s">
        <v>50</v>
      </c>
      <c r="J2" s="28" t="s">
        <v>3</v>
      </c>
      <c r="K2" s="28" t="s">
        <v>46</v>
      </c>
      <c r="L2" s="28" t="s">
        <v>49</v>
      </c>
      <c r="M2" s="28" t="s">
        <v>48</v>
      </c>
      <c r="N2" s="28" t="s">
        <v>47</v>
      </c>
      <c r="O2" s="28" t="s">
        <v>56</v>
      </c>
      <c r="Q2" s="28" t="s">
        <v>50</v>
      </c>
      <c r="R2" s="28" t="s">
        <v>3</v>
      </c>
      <c r="S2" s="28" t="s">
        <v>46</v>
      </c>
      <c r="T2" s="28" t="s">
        <v>49</v>
      </c>
      <c r="U2" s="28" t="s">
        <v>48</v>
      </c>
      <c r="V2" s="28" t="s">
        <v>47</v>
      </c>
      <c r="W2" s="28" t="s">
        <v>56</v>
      </c>
    </row>
    <row r="3" spans="1:23" x14ac:dyDescent="0.25">
      <c r="A3" s="29" t="s">
        <v>31</v>
      </c>
      <c r="B3" s="49">
        <v>13000</v>
      </c>
      <c r="C3" s="32">
        <f>(B3/15)</f>
        <v>866.66666666666663</v>
      </c>
      <c r="D3" s="29">
        <v>323</v>
      </c>
      <c r="E3" s="29">
        <f t="shared" ref="E3:E14" si="0">+D3/1000</f>
        <v>0.32300000000000001</v>
      </c>
      <c r="F3" s="32">
        <f>+E3*C3</f>
        <v>279.93333333333334</v>
      </c>
      <c r="G3" s="32">
        <f>+F3/300</f>
        <v>0.93311111111111111</v>
      </c>
      <c r="I3" s="29" t="s">
        <v>31</v>
      </c>
      <c r="J3" s="49">
        <v>13000</v>
      </c>
      <c r="K3" s="32">
        <f>(J3/15)</f>
        <v>866.66666666666663</v>
      </c>
      <c r="L3" s="29">
        <v>323</v>
      </c>
      <c r="M3" s="29">
        <f t="shared" ref="M3:M14" si="1">+L3/1000</f>
        <v>0.32300000000000001</v>
      </c>
      <c r="N3" s="32">
        <f>+M3*K3</f>
        <v>279.93333333333334</v>
      </c>
      <c r="O3" s="32">
        <f>+N3/300</f>
        <v>0.93311111111111111</v>
      </c>
      <c r="Q3" s="30" t="s">
        <v>54</v>
      </c>
      <c r="R3" s="50">
        <v>75000</v>
      </c>
      <c r="S3" s="30">
        <f>+R3/2.5</f>
        <v>30000</v>
      </c>
      <c r="T3" s="39">
        <v>2500</v>
      </c>
      <c r="U3" s="39">
        <f>+T3/1000</f>
        <v>2.5</v>
      </c>
      <c r="V3" s="50">
        <f>+S3*U3</f>
        <v>75000</v>
      </c>
      <c r="W3" s="50">
        <f>+V3/300</f>
        <v>250</v>
      </c>
    </row>
    <row r="4" spans="1:23" x14ac:dyDescent="0.25">
      <c r="A4" s="29" t="s">
        <v>32</v>
      </c>
      <c r="B4" s="49">
        <v>7000</v>
      </c>
      <c r="C4" s="49">
        <f>B4/4</f>
        <v>1750</v>
      </c>
      <c r="D4" s="29">
        <v>215</v>
      </c>
      <c r="E4" s="29">
        <f t="shared" si="0"/>
        <v>0.215</v>
      </c>
      <c r="F4" s="32">
        <f>+E4*C4</f>
        <v>376.25</v>
      </c>
      <c r="G4" s="32">
        <f t="shared" ref="G4:G14" si="2">+F4/300</f>
        <v>1.2541666666666667</v>
      </c>
      <c r="I4" s="29" t="s">
        <v>32</v>
      </c>
      <c r="J4" s="49">
        <v>7000</v>
      </c>
      <c r="K4" s="49">
        <f>J4/4</f>
        <v>1750</v>
      </c>
      <c r="L4" s="29">
        <v>215</v>
      </c>
      <c r="M4" s="29">
        <f t="shared" si="1"/>
        <v>0.215</v>
      </c>
      <c r="N4" s="32">
        <f>+M4*K4</f>
        <v>376.25</v>
      </c>
      <c r="O4" s="32">
        <f t="shared" ref="O4:O14" si="3">+N4/300</f>
        <v>1.2541666666666667</v>
      </c>
      <c r="Q4" s="30" t="s">
        <v>55</v>
      </c>
      <c r="R4" s="50">
        <v>48000</v>
      </c>
      <c r="S4" s="30">
        <f>+R4/5</f>
        <v>9600</v>
      </c>
      <c r="T4" s="39">
        <v>5000</v>
      </c>
      <c r="U4" s="39">
        <f>+T4/1000</f>
        <v>5</v>
      </c>
      <c r="V4" s="50">
        <f>+S4*U4</f>
        <v>48000</v>
      </c>
      <c r="W4" s="50">
        <f>+V4/300</f>
        <v>160</v>
      </c>
    </row>
    <row r="5" spans="1:23" x14ac:dyDescent="0.25">
      <c r="A5" s="29" t="s">
        <v>33</v>
      </c>
      <c r="B5" s="49">
        <v>60000</v>
      </c>
      <c r="C5" s="49">
        <f>B5/30</f>
        <v>2000</v>
      </c>
      <c r="D5" s="29">
        <v>176</v>
      </c>
      <c r="E5" s="29">
        <f t="shared" si="0"/>
        <v>0.17599999999999999</v>
      </c>
      <c r="F5" s="49">
        <f>+E5*C5</f>
        <v>352</v>
      </c>
      <c r="G5" s="32">
        <f t="shared" si="2"/>
        <v>1.1733333333333333</v>
      </c>
      <c r="I5" s="29" t="s">
        <v>33</v>
      </c>
      <c r="J5" s="49">
        <v>60000</v>
      </c>
      <c r="K5" s="49">
        <f>J5/30</f>
        <v>2000</v>
      </c>
      <c r="L5" s="29">
        <v>176</v>
      </c>
      <c r="M5" s="29">
        <f t="shared" si="1"/>
        <v>0.17599999999999999</v>
      </c>
      <c r="N5" s="49">
        <f>+M5*K5</f>
        <v>352</v>
      </c>
      <c r="O5" s="32">
        <f t="shared" si="3"/>
        <v>1.1733333333333333</v>
      </c>
      <c r="Q5" s="31" t="s">
        <v>38</v>
      </c>
      <c r="R5" s="51">
        <v>8200</v>
      </c>
      <c r="S5" s="51">
        <f>+R5/6</f>
        <v>1366.6666666666667</v>
      </c>
      <c r="T5" s="31">
        <f>6000*3</f>
        <v>18000</v>
      </c>
      <c r="U5" s="31">
        <f t="shared" ref="U5:U9" si="4">+T5/1000</f>
        <v>18</v>
      </c>
      <c r="V5" s="51">
        <f>+U5*S5</f>
        <v>24600</v>
      </c>
      <c r="W5" s="34">
        <f t="shared" ref="W5:W9" si="5">+V5/300</f>
        <v>82</v>
      </c>
    </row>
    <row r="6" spans="1:23" x14ac:dyDescent="0.25">
      <c r="A6" s="29" t="s">
        <v>34</v>
      </c>
      <c r="B6" s="49">
        <v>1500</v>
      </c>
      <c r="C6" s="49">
        <f>+B6/1</f>
        <v>1500</v>
      </c>
      <c r="D6" s="29">
        <v>82</v>
      </c>
      <c r="E6" s="29">
        <f t="shared" si="0"/>
        <v>8.2000000000000003E-2</v>
      </c>
      <c r="F6" s="49">
        <f>+E6*C6</f>
        <v>123</v>
      </c>
      <c r="G6" s="32">
        <f t="shared" si="2"/>
        <v>0.41</v>
      </c>
      <c r="I6" s="29" t="s">
        <v>34</v>
      </c>
      <c r="J6" s="49">
        <v>1500</v>
      </c>
      <c r="K6" s="49">
        <f>+J6/1</f>
        <v>1500</v>
      </c>
      <c r="L6" s="29">
        <v>82</v>
      </c>
      <c r="M6" s="29">
        <f t="shared" si="1"/>
        <v>8.2000000000000003E-2</v>
      </c>
      <c r="N6" s="49">
        <f>+M6*K6</f>
        <v>123</v>
      </c>
      <c r="O6" s="32">
        <f t="shared" si="3"/>
        <v>0.41</v>
      </c>
      <c r="Q6" s="31" t="s">
        <v>34</v>
      </c>
      <c r="R6" s="51">
        <v>1500</v>
      </c>
      <c r="S6" s="51">
        <f>+R6/1</f>
        <v>1500</v>
      </c>
      <c r="T6" s="31">
        <f>57*3</f>
        <v>171</v>
      </c>
      <c r="U6" s="31">
        <f t="shared" si="4"/>
        <v>0.17100000000000001</v>
      </c>
      <c r="V6" s="51">
        <f>+U6*S6</f>
        <v>256.5</v>
      </c>
      <c r="W6" s="34">
        <f t="shared" si="5"/>
        <v>0.85499999999999998</v>
      </c>
    </row>
    <row r="7" spans="1:23" x14ac:dyDescent="0.25">
      <c r="A7" s="29" t="s">
        <v>35</v>
      </c>
      <c r="B7" s="49">
        <v>23000</v>
      </c>
      <c r="C7" s="49">
        <f>+B7/1</f>
        <v>23000</v>
      </c>
      <c r="D7" s="29">
        <v>10</v>
      </c>
      <c r="E7" s="29">
        <f t="shared" si="0"/>
        <v>0.01</v>
      </c>
      <c r="F7" s="49">
        <f>+E7*C7</f>
        <v>230</v>
      </c>
      <c r="G7" s="32">
        <f t="shared" si="2"/>
        <v>0.76666666666666672</v>
      </c>
      <c r="I7" s="29" t="s">
        <v>35</v>
      </c>
      <c r="J7" s="49">
        <v>23000</v>
      </c>
      <c r="K7" s="49">
        <f>+J7/1</f>
        <v>23000</v>
      </c>
      <c r="L7" s="29">
        <v>10</v>
      </c>
      <c r="M7" s="29">
        <f t="shared" si="1"/>
        <v>0.01</v>
      </c>
      <c r="N7" s="49">
        <f>+M7*K7</f>
        <v>230</v>
      </c>
      <c r="O7" s="32">
        <f>+N7/300</f>
        <v>0.76666666666666672</v>
      </c>
      <c r="P7" s="35">
        <f>+O7+O6+O5+O4+O3</f>
        <v>4.5372777777777777</v>
      </c>
      <c r="Q7" s="31" t="s">
        <v>39</v>
      </c>
      <c r="R7" s="51">
        <v>6500</v>
      </c>
      <c r="S7" s="51">
        <f>+R7/1</f>
        <v>6500</v>
      </c>
      <c r="T7" s="31">
        <f>208*3</f>
        <v>624</v>
      </c>
      <c r="U7" s="31">
        <f t="shared" si="4"/>
        <v>0.624</v>
      </c>
      <c r="V7" s="51">
        <f>+U7*S7</f>
        <v>4056</v>
      </c>
      <c r="W7" s="34">
        <f t="shared" si="5"/>
        <v>13.52</v>
      </c>
    </row>
    <row r="8" spans="1:23" x14ac:dyDescent="0.25">
      <c r="A8" s="30" t="s">
        <v>37</v>
      </c>
      <c r="B8" s="50">
        <v>70000</v>
      </c>
      <c r="C8" s="50">
        <f>+B8/50</f>
        <v>1400</v>
      </c>
      <c r="D8" s="39">
        <v>7000</v>
      </c>
      <c r="E8" s="39">
        <f t="shared" si="0"/>
        <v>7</v>
      </c>
      <c r="F8" s="50">
        <f>+C8*E8</f>
        <v>9800</v>
      </c>
      <c r="G8" s="33">
        <f t="shared" si="2"/>
        <v>32.666666666666664</v>
      </c>
      <c r="I8" s="30" t="s">
        <v>37</v>
      </c>
      <c r="J8" s="50">
        <v>70000</v>
      </c>
      <c r="K8" s="50">
        <f>+J8/50</f>
        <v>1400</v>
      </c>
      <c r="L8" s="39">
        <v>5000</v>
      </c>
      <c r="M8" s="39">
        <f t="shared" si="1"/>
        <v>5</v>
      </c>
      <c r="N8" s="50">
        <f>+K8*M8</f>
        <v>7000</v>
      </c>
      <c r="O8" s="50">
        <f>+N8/300</f>
        <v>23.333333333333332</v>
      </c>
      <c r="Q8" s="31" t="s">
        <v>40</v>
      </c>
      <c r="R8" s="51">
        <v>9000</v>
      </c>
      <c r="S8" s="51">
        <f>+R8/1</f>
        <v>9000</v>
      </c>
      <c r="T8" s="31">
        <f>107*3</f>
        <v>321</v>
      </c>
      <c r="U8" s="31">
        <f t="shared" si="4"/>
        <v>0.32100000000000001</v>
      </c>
      <c r="V8" s="51">
        <f>+U8*S8</f>
        <v>2889</v>
      </c>
      <c r="W8" s="34">
        <f t="shared" si="5"/>
        <v>9.6300000000000008</v>
      </c>
    </row>
    <row r="9" spans="1:23" x14ac:dyDescent="0.25">
      <c r="A9" s="30" t="s">
        <v>36</v>
      </c>
      <c r="B9" s="50">
        <v>20000</v>
      </c>
      <c r="C9" s="50">
        <f>+B9/1</f>
        <v>20000</v>
      </c>
      <c r="D9" s="39">
        <v>3500</v>
      </c>
      <c r="E9" s="39">
        <f t="shared" si="0"/>
        <v>3.5</v>
      </c>
      <c r="F9" s="50">
        <f>+C9*E9</f>
        <v>70000</v>
      </c>
      <c r="G9" s="33">
        <f t="shared" si="2"/>
        <v>233.33333333333334</v>
      </c>
      <c r="I9" s="30" t="s">
        <v>53</v>
      </c>
      <c r="J9" s="52">
        <v>15000</v>
      </c>
      <c r="K9" s="50">
        <f>+J9/1</f>
        <v>15000</v>
      </c>
      <c r="L9" s="39">
        <v>5000</v>
      </c>
      <c r="M9" s="39">
        <f t="shared" si="1"/>
        <v>5</v>
      </c>
      <c r="N9" s="50">
        <f>+K9*M9</f>
        <v>75000</v>
      </c>
      <c r="O9" s="50">
        <f>+N9/300</f>
        <v>250</v>
      </c>
      <c r="Q9" s="31" t="s">
        <v>41</v>
      </c>
      <c r="R9" s="51">
        <v>4500</v>
      </c>
      <c r="S9" s="51">
        <f>+R9/1</f>
        <v>4500</v>
      </c>
      <c r="T9" s="31">
        <f>82*3</f>
        <v>246</v>
      </c>
      <c r="U9" s="31">
        <f t="shared" si="4"/>
        <v>0.246</v>
      </c>
      <c r="V9" s="51">
        <f>+U9*S9</f>
        <v>1107</v>
      </c>
      <c r="W9" s="34">
        <f t="shared" si="5"/>
        <v>3.69</v>
      </c>
    </row>
    <row r="10" spans="1:23" x14ac:dyDescent="0.25">
      <c r="A10" s="31" t="s">
        <v>38</v>
      </c>
      <c r="B10" s="51">
        <v>8200</v>
      </c>
      <c r="C10" s="51">
        <f>+B10/6</f>
        <v>1366.6666666666667</v>
      </c>
      <c r="D10" s="31">
        <f>6000*3</f>
        <v>18000</v>
      </c>
      <c r="E10" s="31">
        <f t="shared" si="0"/>
        <v>18</v>
      </c>
      <c r="F10" s="51">
        <f>+E10*C10</f>
        <v>24600</v>
      </c>
      <c r="G10" s="34">
        <f t="shared" si="2"/>
        <v>82</v>
      </c>
      <c r="I10" s="31" t="s">
        <v>38</v>
      </c>
      <c r="J10" s="51">
        <v>8200</v>
      </c>
      <c r="K10" s="51">
        <f>+J10/6</f>
        <v>1366.6666666666667</v>
      </c>
      <c r="L10" s="31">
        <f>6000*3</f>
        <v>18000</v>
      </c>
      <c r="M10" s="31">
        <f t="shared" si="1"/>
        <v>18</v>
      </c>
      <c r="N10" s="51">
        <f>+M10*K10</f>
        <v>24600</v>
      </c>
      <c r="O10" s="34">
        <f t="shared" si="3"/>
        <v>82</v>
      </c>
      <c r="Q10" s="40" t="s">
        <v>42</v>
      </c>
      <c r="R10" s="53">
        <v>255000</v>
      </c>
      <c r="S10" s="42"/>
      <c r="T10" s="42"/>
      <c r="U10" s="42"/>
      <c r="V10" s="41">
        <f>+R10/(300*6*4)</f>
        <v>35.416666666666664</v>
      </c>
      <c r="W10" s="47">
        <f>+R10/(300*6*4)</f>
        <v>35.416666666666664</v>
      </c>
    </row>
    <row r="11" spans="1:23" x14ac:dyDescent="0.25">
      <c r="A11" s="31" t="s">
        <v>34</v>
      </c>
      <c r="B11" s="51">
        <v>1500</v>
      </c>
      <c r="C11" s="51">
        <f>+B11/1</f>
        <v>1500</v>
      </c>
      <c r="D11" s="31">
        <f>57*3</f>
        <v>171</v>
      </c>
      <c r="E11" s="31">
        <f t="shared" si="0"/>
        <v>0.17100000000000001</v>
      </c>
      <c r="F11" s="51">
        <f>+E11*C11</f>
        <v>256.5</v>
      </c>
      <c r="G11" s="34">
        <f t="shared" si="2"/>
        <v>0.85499999999999998</v>
      </c>
      <c r="I11" s="31" t="s">
        <v>34</v>
      </c>
      <c r="J11" s="51">
        <v>1500</v>
      </c>
      <c r="K11" s="51">
        <f>+J11/1</f>
        <v>1500</v>
      </c>
      <c r="L11" s="31">
        <f>57*3</f>
        <v>171</v>
      </c>
      <c r="M11" s="31">
        <f t="shared" si="1"/>
        <v>0.17100000000000001</v>
      </c>
      <c r="N11" s="51">
        <f>+M11*K11</f>
        <v>256.5</v>
      </c>
      <c r="O11" s="34">
        <f t="shared" si="3"/>
        <v>0.85499999999999998</v>
      </c>
      <c r="Q11" s="40" t="s">
        <v>43</v>
      </c>
      <c r="R11" s="53">
        <v>48000</v>
      </c>
      <c r="S11" s="42"/>
      <c r="T11" s="42"/>
      <c r="U11" s="42"/>
      <c r="V11" s="41">
        <f t="shared" ref="V11:V12" si="6">+R11/(300*6*4)</f>
        <v>6.666666666666667</v>
      </c>
      <c r="W11" s="47">
        <f>+R11/(300*6*4)</f>
        <v>6.666666666666667</v>
      </c>
    </row>
    <row r="12" spans="1:23" x14ac:dyDescent="0.25">
      <c r="A12" s="31" t="s">
        <v>39</v>
      </c>
      <c r="B12" s="51">
        <v>6500</v>
      </c>
      <c r="C12" s="51">
        <f>+B12/1</f>
        <v>6500</v>
      </c>
      <c r="D12" s="31">
        <f>208*3</f>
        <v>624</v>
      </c>
      <c r="E12" s="31">
        <f t="shared" si="0"/>
        <v>0.624</v>
      </c>
      <c r="F12" s="51">
        <f>+E12*C12</f>
        <v>4056</v>
      </c>
      <c r="G12" s="34">
        <f t="shared" si="2"/>
        <v>13.52</v>
      </c>
      <c r="I12" s="31" t="s">
        <v>39</v>
      </c>
      <c r="J12" s="51">
        <v>6500</v>
      </c>
      <c r="K12" s="51">
        <f>+J12/1</f>
        <v>6500</v>
      </c>
      <c r="L12" s="31">
        <f>208*3</f>
        <v>624</v>
      </c>
      <c r="M12" s="31">
        <f t="shared" si="1"/>
        <v>0.624</v>
      </c>
      <c r="N12" s="51">
        <f>+M12*K12</f>
        <v>4056</v>
      </c>
      <c r="O12" s="34">
        <f t="shared" si="3"/>
        <v>13.52</v>
      </c>
      <c r="Q12" s="40" t="s">
        <v>44</v>
      </c>
      <c r="R12" s="53">
        <v>181000</v>
      </c>
      <c r="S12" s="42"/>
      <c r="T12" s="42"/>
      <c r="U12" s="42"/>
      <c r="V12" s="41">
        <f t="shared" si="6"/>
        <v>25.138888888888889</v>
      </c>
      <c r="W12" s="47">
        <f>+R12/(300*6*4)</f>
        <v>25.138888888888889</v>
      </c>
    </row>
    <row r="13" spans="1:23" x14ac:dyDescent="0.25">
      <c r="A13" s="31" t="s">
        <v>40</v>
      </c>
      <c r="B13" s="51">
        <v>9000</v>
      </c>
      <c r="C13" s="51">
        <f>+B13/1</f>
        <v>9000</v>
      </c>
      <c r="D13" s="31">
        <f>107*3</f>
        <v>321</v>
      </c>
      <c r="E13" s="31">
        <f t="shared" si="0"/>
        <v>0.32100000000000001</v>
      </c>
      <c r="F13" s="51">
        <f>+E13*C13</f>
        <v>2889</v>
      </c>
      <c r="G13" s="34">
        <f t="shared" si="2"/>
        <v>9.6300000000000008</v>
      </c>
      <c r="I13" s="31" t="s">
        <v>40</v>
      </c>
      <c r="J13" s="51">
        <v>9000</v>
      </c>
      <c r="K13" s="51">
        <f>+J13/1</f>
        <v>9000</v>
      </c>
      <c r="L13" s="31">
        <f>107*3</f>
        <v>321</v>
      </c>
      <c r="M13" s="31">
        <f t="shared" si="1"/>
        <v>0.32100000000000001</v>
      </c>
      <c r="N13" s="51">
        <f>+M13*K13</f>
        <v>2889</v>
      </c>
      <c r="O13" s="34">
        <f t="shared" si="3"/>
        <v>9.6300000000000008</v>
      </c>
      <c r="Q13" s="43" t="s">
        <v>45</v>
      </c>
      <c r="R13" s="54">
        <v>115000</v>
      </c>
      <c r="S13" s="44"/>
      <c r="T13" s="45"/>
      <c r="U13" s="45"/>
      <c r="V13" s="44">
        <f>+R13/(300*6*4)</f>
        <v>15.972222222222221</v>
      </c>
      <c r="W13" s="48">
        <f>+R13/(300*6*4)</f>
        <v>15.972222222222221</v>
      </c>
    </row>
    <row r="14" spans="1:23" x14ac:dyDescent="0.25">
      <c r="A14" s="31" t="s">
        <v>41</v>
      </c>
      <c r="B14" s="51">
        <v>4500</v>
      </c>
      <c r="C14" s="51">
        <f>+B14/1</f>
        <v>4500</v>
      </c>
      <c r="D14" s="31">
        <f>82*3</f>
        <v>246</v>
      </c>
      <c r="E14" s="31">
        <f t="shared" si="0"/>
        <v>0.246</v>
      </c>
      <c r="F14" s="51">
        <f>+E14*C14</f>
        <v>1107</v>
      </c>
      <c r="G14" s="34">
        <f t="shared" si="2"/>
        <v>3.69</v>
      </c>
      <c r="I14" s="31" t="s">
        <v>41</v>
      </c>
      <c r="J14" s="51">
        <v>4500</v>
      </c>
      <c r="K14" s="51">
        <f>+J14/1</f>
        <v>4500</v>
      </c>
      <c r="L14" s="31">
        <f>82*3</f>
        <v>246</v>
      </c>
      <c r="M14" s="31">
        <f t="shared" si="1"/>
        <v>0.246</v>
      </c>
      <c r="N14" s="51">
        <f>+M14*K14</f>
        <v>1107</v>
      </c>
      <c r="O14" s="34">
        <f t="shared" si="3"/>
        <v>3.69</v>
      </c>
      <c r="P14" s="2">
        <f>+SUM(O10:O14)</f>
        <v>109.69499999999999</v>
      </c>
      <c r="Q14" s="46" t="s">
        <v>28</v>
      </c>
      <c r="R14" s="55">
        <f>+B19</f>
        <v>1423500</v>
      </c>
      <c r="S14" s="55">
        <f>+R14*2.5</f>
        <v>3558750</v>
      </c>
      <c r="T14" s="55">
        <f>+S14/30</f>
        <v>118625</v>
      </c>
      <c r="U14" s="55">
        <f>+T14/8</f>
        <v>14828.125</v>
      </c>
      <c r="V14" s="55">
        <f>+U14/180</f>
        <v>82.378472222222229</v>
      </c>
      <c r="W14" s="55">
        <f>+V14</f>
        <v>82.378472222222229</v>
      </c>
    </row>
    <row r="15" spans="1:23" x14ac:dyDescent="0.25">
      <c r="A15" s="40" t="s">
        <v>42</v>
      </c>
      <c r="B15" s="53">
        <v>255000</v>
      </c>
      <c r="C15" s="42"/>
      <c r="D15" s="42"/>
      <c r="E15" s="42"/>
      <c r="F15" s="41">
        <f>+B15/(300*6*4)</f>
        <v>35.416666666666664</v>
      </c>
      <c r="G15" s="47">
        <f>+B15/(300*6*4)</f>
        <v>35.416666666666664</v>
      </c>
      <c r="I15" s="40" t="s">
        <v>42</v>
      </c>
      <c r="J15" s="53">
        <v>255000</v>
      </c>
      <c r="K15" s="42"/>
      <c r="L15" s="42"/>
      <c r="M15" s="42"/>
      <c r="N15" s="41">
        <f>+J15/(300*6*4)</f>
        <v>35.416666666666664</v>
      </c>
      <c r="O15" s="47">
        <f>+J15/(300*6*4)</f>
        <v>35.416666666666664</v>
      </c>
      <c r="V15" t="s">
        <v>59</v>
      </c>
      <c r="W15" s="2">
        <f>SUM(W3:W14)</f>
        <v>685.26791666666668</v>
      </c>
    </row>
    <row r="16" spans="1:23" x14ac:dyDescent="0.25">
      <c r="A16" s="40" t="s">
        <v>43</v>
      </c>
      <c r="B16" s="53">
        <v>48000</v>
      </c>
      <c r="C16" s="42"/>
      <c r="D16" s="42"/>
      <c r="E16" s="42"/>
      <c r="F16" s="41">
        <f t="shared" ref="F16:F17" si="7">+B16/(300*6*4)</f>
        <v>6.666666666666667</v>
      </c>
      <c r="G16" s="47">
        <f>+B16/(300*6*4)</f>
        <v>6.666666666666667</v>
      </c>
      <c r="I16" s="40" t="s">
        <v>43</v>
      </c>
      <c r="J16" s="53">
        <v>48000</v>
      </c>
      <c r="K16" s="42"/>
      <c r="L16" s="42"/>
      <c r="M16" s="42"/>
      <c r="N16" s="41">
        <f t="shared" ref="N16:N17" si="8">+J16/(300*6*4)</f>
        <v>6.666666666666667</v>
      </c>
      <c r="O16" s="47">
        <f>+J16/(300*6*4)</f>
        <v>6.666666666666667</v>
      </c>
      <c r="V16" t="s">
        <v>58</v>
      </c>
      <c r="W16">
        <f>+W15/(1-0.45)</f>
        <v>1245.9416666666666</v>
      </c>
    </row>
    <row r="17" spans="1:23" x14ac:dyDescent="0.25">
      <c r="A17" s="40" t="s">
        <v>44</v>
      </c>
      <c r="B17" s="53">
        <v>181000</v>
      </c>
      <c r="C17" s="42"/>
      <c r="D17" s="42"/>
      <c r="E17" s="42"/>
      <c r="F17" s="41">
        <f t="shared" si="7"/>
        <v>25.138888888888889</v>
      </c>
      <c r="G17" s="47">
        <f>+B17/(300*6*4)</f>
        <v>25.138888888888889</v>
      </c>
      <c r="I17" s="40" t="s">
        <v>44</v>
      </c>
      <c r="J17" s="53">
        <v>181000</v>
      </c>
      <c r="K17" s="42"/>
      <c r="L17" s="42"/>
      <c r="M17" s="42"/>
      <c r="N17" s="41">
        <f t="shared" si="8"/>
        <v>25.138888888888889</v>
      </c>
      <c r="O17" s="47">
        <f>+J17/(300*6*4)</f>
        <v>25.138888888888889</v>
      </c>
      <c r="P17" s="36">
        <f>+SUM(O15:O17)</f>
        <v>67.222222222222214</v>
      </c>
      <c r="V17" t="s">
        <v>51</v>
      </c>
      <c r="W17" s="56">
        <f>+'Costo Fijos'!B5/(W16-W15)</f>
        <v>4744.2920236590362</v>
      </c>
    </row>
    <row r="18" spans="1:23" x14ac:dyDescent="0.25">
      <c r="A18" s="43" t="s">
        <v>45</v>
      </c>
      <c r="B18" s="54">
        <v>115000</v>
      </c>
      <c r="C18" s="44"/>
      <c r="D18" s="45"/>
      <c r="E18" s="45"/>
      <c r="F18" s="44">
        <f>+B18/(300*6*4)</f>
        <v>15.972222222222221</v>
      </c>
      <c r="G18" s="48">
        <f>+B18/(300*6*4)</f>
        <v>15.972222222222221</v>
      </c>
      <c r="I18" s="43" t="s">
        <v>45</v>
      </c>
      <c r="J18" s="54">
        <v>115000</v>
      </c>
      <c r="K18" s="44"/>
      <c r="L18" s="45"/>
      <c r="M18" s="45"/>
      <c r="N18" s="44">
        <f>+J18/(300*6*4)</f>
        <v>15.972222222222221</v>
      </c>
      <c r="O18" s="48">
        <f>+J18/(300*6*4)</f>
        <v>15.972222222222221</v>
      </c>
    </row>
    <row r="19" spans="1:23" x14ac:dyDescent="0.25">
      <c r="A19" s="46" t="s">
        <v>28</v>
      </c>
      <c r="B19" s="55">
        <v>1423500</v>
      </c>
      <c r="C19" s="55">
        <f>+B19*2.5</f>
        <v>3558750</v>
      </c>
      <c r="D19" s="55">
        <f>+C19/30</f>
        <v>118625</v>
      </c>
      <c r="E19" s="55">
        <f>+D19/8</f>
        <v>14828.125</v>
      </c>
      <c r="F19" s="55">
        <f>+E19/180</f>
        <v>82.378472222222229</v>
      </c>
      <c r="G19" s="55">
        <f>+F19</f>
        <v>82.378472222222229</v>
      </c>
      <c r="I19" s="46" t="s">
        <v>28</v>
      </c>
      <c r="J19" s="55">
        <f>+B19</f>
        <v>1423500</v>
      </c>
      <c r="K19" s="55">
        <f>+J19*2.5</f>
        <v>3558750</v>
      </c>
      <c r="L19" s="55">
        <f>+K19/30</f>
        <v>118625</v>
      </c>
      <c r="M19" s="55">
        <f>+L19/8</f>
        <v>14828.125</v>
      </c>
      <c r="N19" s="55">
        <f>+M19/180</f>
        <v>82.378472222222229</v>
      </c>
      <c r="O19" s="55">
        <f>+N19</f>
        <v>82.378472222222229</v>
      </c>
    </row>
    <row r="20" spans="1:23" x14ac:dyDescent="0.25">
      <c r="F20" t="s">
        <v>59</v>
      </c>
      <c r="G20" s="2">
        <f>SUM(G3:G19)</f>
        <v>545.80519444444451</v>
      </c>
      <c r="N20" t="s">
        <v>59</v>
      </c>
      <c r="O20" s="2">
        <f>SUM(O3:O19)</f>
        <v>553.13852777777788</v>
      </c>
    </row>
    <row r="21" spans="1:23" x14ac:dyDescent="0.25">
      <c r="F21" t="s">
        <v>58</v>
      </c>
      <c r="G21">
        <f>+G20/(1-0.45)</f>
        <v>992.37308080808089</v>
      </c>
      <c r="N21" t="s">
        <v>58</v>
      </c>
      <c r="O21">
        <f>+O20/(1-0.45)</f>
        <v>1005.7064141414143</v>
      </c>
    </row>
    <row r="22" spans="1:23" x14ac:dyDescent="0.25">
      <c r="F22" t="s">
        <v>51</v>
      </c>
      <c r="G22" s="56">
        <f>+'Costo Fijos'!B5/(G21-G20)</f>
        <v>5956.541169272492</v>
      </c>
      <c r="N22" t="s">
        <v>51</v>
      </c>
      <c r="O22" s="56">
        <f>+'Costo Fijos'!B5/(O21-O20)</f>
        <v>5877.5712553822286</v>
      </c>
    </row>
    <row r="23" spans="1:23" x14ac:dyDescent="0.25">
      <c r="I23">
        <v>80</v>
      </c>
    </row>
    <row r="24" spans="1:23" x14ac:dyDescent="0.25">
      <c r="I24">
        <v>95</v>
      </c>
      <c r="J24">
        <f>900*0.095</f>
        <v>85.5</v>
      </c>
    </row>
    <row r="25" spans="1:23" x14ac:dyDescent="0.25">
      <c r="I25">
        <v>70</v>
      </c>
      <c r="J25">
        <f>24000/25</f>
        <v>960</v>
      </c>
      <c r="L25" s="1">
        <v>900000</v>
      </c>
      <c r="M25">
        <f>+L25/26</f>
        <v>34615.384615384617</v>
      </c>
      <c r="N25">
        <f>+M25/300</f>
        <v>115.38461538461539</v>
      </c>
    </row>
    <row r="26" spans="1:23" x14ac:dyDescent="0.25">
      <c r="I26">
        <v>85</v>
      </c>
      <c r="J26">
        <f>22000/25</f>
        <v>880</v>
      </c>
    </row>
    <row r="27" spans="1:23" x14ac:dyDescent="0.25">
      <c r="I27">
        <v>25</v>
      </c>
    </row>
  </sheetData>
  <mergeCells count="3">
    <mergeCell ref="A1:G1"/>
    <mergeCell ref="I1:O1"/>
    <mergeCell ref="Q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3064-DD20-41B1-876B-2BD9622493CE}">
  <dimension ref="A1:W25"/>
  <sheetViews>
    <sheetView zoomScale="80" zoomScaleNormal="80" workbookViewId="0">
      <selection activeCell="H14" sqref="H14"/>
    </sheetView>
  </sheetViews>
  <sheetFormatPr baseColWidth="10" defaultRowHeight="15" x14ac:dyDescent="0.25"/>
  <cols>
    <col min="2" max="2" width="12.85546875" bestFit="1" customWidth="1"/>
    <col min="3" max="3" width="15" customWidth="1"/>
    <col min="4" max="4" width="12" customWidth="1"/>
    <col min="5" max="5" width="15" customWidth="1"/>
    <col min="6" max="6" width="14.42578125" customWidth="1"/>
    <col min="7" max="7" width="13.5703125" bestFit="1" customWidth="1"/>
    <col min="10" max="10" width="13.42578125" customWidth="1"/>
    <col min="11" max="11" width="16.5703125" bestFit="1" customWidth="1"/>
    <col min="12" max="12" width="15.5703125" bestFit="1" customWidth="1"/>
    <col min="13" max="13" width="14.42578125" bestFit="1" customWidth="1"/>
    <col min="14" max="14" width="18.42578125" bestFit="1" customWidth="1"/>
    <col min="15" max="15" width="14.42578125" bestFit="1" customWidth="1"/>
    <col min="18" max="18" width="12.85546875" bestFit="1" customWidth="1"/>
    <col min="19" max="19" width="14.42578125" bestFit="1" customWidth="1"/>
    <col min="20" max="20" width="12.85546875" bestFit="1" customWidth="1"/>
    <col min="21" max="21" width="15.5703125" bestFit="1" customWidth="1"/>
    <col min="22" max="22" width="11.42578125" customWidth="1"/>
    <col min="23" max="23" width="11.140625" customWidth="1"/>
  </cols>
  <sheetData>
    <row r="1" spans="1:23" x14ac:dyDescent="0.25">
      <c r="A1" s="66" t="s">
        <v>36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Q1" s="66"/>
      <c r="R1" s="66"/>
      <c r="S1" s="66"/>
      <c r="T1" s="66"/>
      <c r="U1" s="66"/>
      <c r="V1" s="66"/>
      <c r="W1" s="66"/>
    </row>
    <row r="2" spans="1:23" x14ac:dyDescent="0.25">
      <c r="A2" s="28" t="s">
        <v>50</v>
      </c>
      <c r="B2" s="28" t="s">
        <v>3</v>
      </c>
      <c r="C2" s="28" t="s">
        <v>46</v>
      </c>
      <c r="D2" s="28" t="s">
        <v>49</v>
      </c>
      <c r="E2" s="28" t="s">
        <v>48</v>
      </c>
      <c r="F2" s="28" t="s">
        <v>47</v>
      </c>
      <c r="G2" s="28" t="s">
        <v>56</v>
      </c>
      <c r="I2" s="28"/>
      <c r="J2" s="28"/>
      <c r="K2" s="28"/>
      <c r="L2" s="28"/>
      <c r="M2" s="28"/>
      <c r="N2" s="28"/>
      <c r="O2" s="28"/>
      <c r="Q2" s="28"/>
      <c r="R2" s="28"/>
      <c r="S2" s="28"/>
      <c r="T2" s="28"/>
      <c r="U2" s="28"/>
      <c r="V2" s="28"/>
      <c r="W2" s="28"/>
    </row>
    <row r="3" spans="1:23" x14ac:dyDescent="0.25">
      <c r="A3" s="29" t="s">
        <v>31</v>
      </c>
      <c r="B3" s="49">
        <v>13000</v>
      </c>
      <c r="C3" s="32">
        <f>(B3/15)</f>
        <v>866.66666666666663</v>
      </c>
      <c r="D3" s="29">
        <v>323</v>
      </c>
      <c r="E3" s="29">
        <f t="shared" ref="E3:E14" si="0">+D3/1000</f>
        <v>0.32300000000000001</v>
      </c>
      <c r="F3" s="32">
        <f>+E3*C3</f>
        <v>279.93333333333334</v>
      </c>
      <c r="G3" s="32">
        <f>+F3/300</f>
        <v>0.93311111111111111</v>
      </c>
      <c r="J3" s="57"/>
      <c r="K3" s="58"/>
      <c r="N3" s="58"/>
      <c r="O3" s="58"/>
      <c r="R3" s="57"/>
      <c r="T3" s="59"/>
      <c r="U3" s="59"/>
      <c r="V3" s="57"/>
      <c r="W3" s="57"/>
    </row>
    <row r="4" spans="1:23" x14ac:dyDescent="0.25">
      <c r="A4" s="29" t="s">
        <v>32</v>
      </c>
      <c r="B4" s="49">
        <v>7000</v>
      </c>
      <c r="C4" s="49">
        <f>B4/4</f>
        <v>1750</v>
      </c>
      <c r="D4" s="29">
        <v>215</v>
      </c>
      <c r="E4" s="29">
        <f t="shared" si="0"/>
        <v>0.215</v>
      </c>
      <c r="F4" s="32">
        <f>+E4*C4</f>
        <v>376.25</v>
      </c>
      <c r="G4" s="32">
        <f t="shared" ref="G4:G14" si="1">+F4/300</f>
        <v>1.2541666666666667</v>
      </c>
      <c r="J4" s="57"/>
      <c r="K4" s="57"/>
      <c r="N4" s="58"/>
      <c r="O4" s="58"/>
      <c r="R4" s="57"/>
      <c r="T4" s="59"/>
      <c r="U4" s="59"/>
      <c r="V4" s="57"/>
      <c r="W4" s="57"/>
    </row>
    <row r="5" spans="1:23" x14ac:dyDescent="0.25">
      <c r="A5" s="29" t="s">
        <v>33</v>
      </c>
      <c r="B5" s="49">
        <v>60000</v>
      </c>
      <c r="C5" s="49">
        <f>B5/30</f>
        <v>2000</v>
      </c>
      <c r="D5" s="29">
        <v>176</v>
      </c>
      <c r="E5" s="29">
        <f t="shared" si="0"/>
        <v>0.17599999999999999</v>
      </c>
      <c r="F5" s="49">
        <f>+E5*C5</f>
        <v>352</v>
      </c>
      <c r="G5" s="32">
        <f t="shared" si="1"/>
        <v>1.1733333333333333</v>
      </c>
      <c r="J5" s="57"/>
      <c r="K5" s="57"/>
      <c r="N5" s="57"/>
      <c r="O5" s="58"/>
      <c r="R5" s="57"/>
      <c r="S5" s="57"/>
      <c r="V5" s="57"/>
      <c r="W5" s="58"/>
    </row>
    <row r="6" spans="1:23" x14ac:dyDescent="0.25">
      <c r="A6" s="29" t="s">
        <v>34</v>
      </c>
      <c r="B6" s="49">
        <v>1500</v>
      </c>
      <c r="C6" s="49">
        <f>+B6/1</f>
        <v>1500</v>
      </c>
      <c r="D6" s="29">
        <v>82</v>
      </c>
      <c r="E6" s="29">
        <f t="shared" si="0"/>
        <v>8.2000000000000003E-2</v>
      </c>
      <c r="F6" s="49">
        <f>+E6*C6</f>
        <v>123</v>
      </c>
      <c r="G6" s="32">
        <f t="shared" si="1"/>
        <v>0.41</v>
      </c>
      <c r="J6" s="57"/>
      <c r="K6" s="57"/>
      <c r="N6" s="57"/>
      <c r="O6" s="58"/>
      <c r="R6" s="57"/>
      <c r="S6" s="57"/>
      <c r="V6" s="57"/>
      <c r="W6" s="58"/>
    </row>
    <row r="7" spans="1:23" x14ac:dyDescent="0.25">
      <c r="A7" s="29" t="s">
        <v>35</v>
      </c>
      <c r="B7" s="49">
        <v>23000</v>
      </c>
      <c r="C7" s="49">
        <f>+B7/1</f>
        <v>23000</v>
      </c>
      <c r="D7" s="29">
        <v>10</v>
      </c>
      <c r="E7" s="29">
        <f t="shared" si="0"/>
        <v>0.01</v>
      </c>
      <c r="F7" s="49">
        <f>+E7*C7</f>
        <v>230</v>
      </c>
      <c r="G7" s="32">
        <f t="shared" si="1"/>
        <v>0.76666666666666672</v>
      </c>
      <c r="J7" s="57"/>
      <c r="K7" s="57"/>
      <c r="N7" s="57"/>
      <c r="O7" s="58"/>
      <c r="P7" s="35"/>
      <c r="R7" s="57"/>
      <c r="S7" s="57"/>
      <c r="V7" s="57"/>
      <c r="W7" s="58"/>
    </row>
    <row r="8" spans="1:23" x14ac:dyDescent="0.25">
      <c r="A8" s="30" t="s">
        <v>37</v>
      </c>
      <c r="B8" s="50">
        <v>70000</v>
      </c>
      <c r="C8" s="50">
        <f>+B8/50</f>
        <v>1400</v>
      </c>
      <c r="D8" s="39">
        <v>7000</v>
      </c>
      <c r="E8" s="39">
        <f t="shared" si="0"/>
        <v>7</v>
      </c>
      <c r="F8" s="50">
        <f>+C8*E8</f>
        <v>9800</v>
      </c>
      <c r="G8" s="33">
        <f t="shared" si="1"/>
        <v>32.666666666666664</v>
      </c>
      <c r="J8" s="57"/>
      <c r="K8" s="57"/>
      <c r="L8" s="59"/>
      <c r="M8" s="59"/>
      <c r="N8" s="57"/>
      <c r="O8" s="57"/>
      <c r="R8" s="57"/>
      <c r="S8" s="57"/>
      <c r="V8" s="57"/>
      <c r="W8" s="58"/>
    </row>
    <row r="9" spans="1:23" x14ac:dyDescent="0.25">
      <c r="A9" s="30" t="s">
        <v>36</v>
      </c>
      <c r="B9" s="50">
        <v>20000</v>
      </c>
      <c r="C9" s="50">
        <f>+B9/1</f>
        <v>20000</v>
      </c>
      <c r="D9" s="39">
        <v>3500</v>
      </c>
      <c r="E9" s="39">
        <f t="shared" si="0"/>
        <v>3.5</v>
      </c>
      <c r="F9" s="50">
        <f>+C9*E9</f>
        <v>70000</v>
      </c>
      <c r="G9" s="33">
        <f t="shared" si="1"/>
        <v>233.33333333333334</v>
      </c>
      <c r="J9" s="60"/>
      <c r="K9" s="57"/>
      <c r="L9" s="59"/>
      <c r="M9" s="59"/>
      <c r="N9" s="57"/>
      <c r="O9" s="57"/>
      <c r="R9" s="57"/>
      <c r="S9" s="57"/>
      <c r="V9" s="57"/>
      <c r="W9" s="58"/>
    </row>
    <row r="10" spans="1:23" x14ac:dyDescent="0.25">
      <c r="A10" s="31" t="s">
        <v>38</v>
      </c>
      <c r="B10" s="51">
        <v>8000</v>
      </c>
      <c r="C10" s="51">
        <f>+B10/6</f>
        <v>1333.3333333333333</v>
      </c>
      <c r="D10" s="31">
        <f>6000*3</f>
        <v>18000</v>
      </c>
      <c r="E10" s="31">
        <f t="shared" si="0"/>
        <v>18</v>
      </c>
      <c r="F10" s="51">
        <f>+E10*C10</f>
        <v>24000</v>
      </c>
      <c r="G10" s="34">
        <f>+F10/219</f>
        <v>109.58904109589041</v>
      </c>
      <c r="H10">
        <v>73</v>
      </c>
      <c r="I10">
        <f>+H10*3</f>
        <v>219</v>
      </c>
      <c r="J10" s="57"/>
      <c r="K10" s="57"/>
      <c r="N10" s="57"/>
      <c r="O10" s="58"/>
      <c r="Q10" s="28"/>
      <c r="R10" s="57"/>
      <c r="V10" s="58"/>
      <c r="W10" s="36"/>
    </row>
    <row r="11" spans="1:23" x14ac:dyDescent="0.25">
      <c r="A11" s="31" t="s">
        <v>34</v>
      </c>
      <c r="B11" s="51">
        <v>1500</v>
      </c>
      <c r="C11" s="51">
        <f>+B11/1</f>
        <v>1500</v>
      </c>
      <c r="D11" s="31">
        <f>57*3</f>
        <v>171</v>
      </c>
      <c r="E11" s="31">
        <f t="shared" si="0"/>
        <v>0.17100000000000001</v>
      </c>
      <c r="F11" s="51">
        <f>+E11*C11</f>
        <v>256.5</v>
      </c>
      <c r="G11" s="34">
        <f t="shared" si="1"/>
        <v>0.85499999999999998</v>
      </c>
      <c r="J11" s="57"/>
      <c r="K11" s="57"/>
      <c r="N11" s="57"/>
      <c r="O11" s="58"/>
      <c r="Q11" s="28"/>
      <c r="R11" s="57"/>
      <c r="V11" s="58"/>
      <c r="W11" s="36"/>
    </row>
    <row r="12" spans="1:23" x14ac:dyDescent="0.25">
      <c r="A12" s="31" t="s">
        <v>39</v>
      </c>
      <c r="B12" s="51">
        <v>6500</v>
      </c>
      <c r="C12" s="51">
        <f>+B12/1</f>
        <v>6500</v>
      </c>
      <c r="D12" s="31">
        <f>208*3</f>
        <v>624</v>
      </c>
      <c r="E12" s="31">
        <f t="shared" si="0"/>
        <v>0.624</v>
      </c>
      <c r="F12" s="51">
        <f>+E12*C12</f>
        <v>4056</v>
      </c>
      <c r="G12" s="34">
        <f t="shared" si="1"/>
        <v>13.52</v>
      </c>
      <c r="J12" s="57"/>
      <c r="K12" s="57"/>
      <c r="N12" s="57"/>
      <c r="O12" s="58"/>
      <c r="Q12" s="28"/>
      <c r="R12" s="57"/>
      <c r="V12" s="58"/>
      <c r="W12" s="36"/>
    </row>
    <row r="13" spans="1:23" x14ac:dyDescent="0.25">
      <c r="A13" s="31" t="s">
        <v>40</v>
      </c>
      <c r="B13" s="51">
        <v>9000</v>
      </c>
      <c r="C13" s="51">
        <f>+B13/1</f>
        <v>9000</v>
      </c>
      <c r="D13" s="31">
        <f>107*3</f>
        <v>321</v>
      </c>
      <c r="E13" s="31">
        <f t="shared" si="0"/>
        <v>0.32100000000000001</v>
      </c>
      <c r="F13" s="51">
        <f>+E13*C13</f>
        <v>2889</v>
      </c>
      <c r="G13" s="34">
        <f t="shared" si="1"/>
        <v>9.6300000000000008</v>
      </c>
      <c r="J13" s="57"/>
      <c r="K13" s="57"/>
      <c r="N13" s="57"/>
      <c r="O13" s="58"/>
      <c r="Q13" s="28"/>
      <c r="R13" s="57"/>
      <c r="S13" s="58"/>
      <c r="V13" s="58"/>
      <c r="W13" s="36"/>
    </row>
    <row r="14" spans="1:23" x14ac:dyDescent="0.25">
      <c r="A14" s="31" t="s">
        <v>41</v>
      </c>
      <c r="B14" s="51">
        <v>4500</v>
      </c>
      <c r="C14" s="51">
        <f>+B14/1</f>
        <v>4500</v>
      </c>
      <c r="D14" s="31">
        <f>82*3</f>
        <v>246</v>
      </c>
      <c r="E14" s="31">
        <f t="shared" si="0"/>
        <v>0.246</v>
      </c>
      <c r="F14" s="51">
        <f>+E14*C14</f>
        <v>1107</v>
      </c>
      <c r="G14" s="34">
        <f t="shared" si="1"/>
        <v>3.69</v>
      </c>
      <c r="H14" s="2"/>
      <c r="J14" s="57"/>
      <c r="K14" s="57"/>
      <c r="N14" s="57"/>
      <c r="O14" s="58"/>
      <c r="P14" s="2"/>
      <c r="R14" s="61"/>
      <c r="S14" s="61"/>
      <c r="T14" s="61"/>
      <c r="U14" s="61"/>
      <c r="V14" s="61"/>
      <c r="W14" s="61"/>
    </row>
    <row r="15" spans="1:23" x14ac:dyDescent="0.25">
      <c r="A15" s="40" t="s">
        <v>42</v>
      </c>
      <c r="B15" s="53">
        <v>255000</v>
      </c>
      <c r="C15" s="42"/>
      <c r="D15" s="42"/>
      <c r="E15" s="42"/>
      <c r="F15" s="41">
        <f>+B15/(300*6*4)</f>
        <v>35.416666666666664</v>
      </c>
      <c r="G15" s="47">
        <f>+B15/(300*6*4)</f>
        <v>35.416666666666664</v>
      </c>
      <c r="I15" s="28"/>
      <c r="J15" s="57"/>
      <c r="N15" s="58"/>
      <c r="O15" s="36"/>
      <c r="W15" s="2"/>
    </row>
    <row r="16" spans="1:23" x14ac:dyDescent="0.25">
      <c r="A16" s="40" t="s">
        <v>43</v>
      </c>
      <c r="B16" s="53">
        <v>48000</v>
      </c>
      <c r="C16" s="42"/>
      <c r="D16" s="42"/>
      <c r="E16" s="42"/>
      <c r="F16" s="41">
        <f t="shared" ref="F16:F17" si="2">+B16/(300*6*4)</f>
        <v>6.666666666666667</v>
      </c>
      <c r="G16" s="47">
        <f>+B16/(300*6*4)</f>
        <v>6.666666666666667</v>
      </c>
      <c r="I16" s="28"/>
      <c r="J16" s="57"/>
      <c r="N16" s="58"/>
      <c r="O16" s="36"/>
    </row>
    <row r="17" spans="1:23" x14ac:dyDescent="0.25">
      <c r="A17" s="40" t="s">
        <v>44</v>
      </c>
      <c r="B17" s="53">
        <v>181000</v>
      </c>
      <c r="C17" s="42"/>
      <c r="D17" s="42"/>
      <c r="E17" s="42"/>
      <c r="F17" s="41">
        <f t="shared" si="2"/>
        <v>25.138888888888889</v>
      </c>
      <c r="G17" s="47">
        <f>+B17/(300*6*4)</f>
        <v>25.138888888888889</v>
      </c>
      <c r="I17" s="28"/>
      <c r="J17" s="57"/>
      <c r="N17" s="58"/>
      <c r="O17" s="36"/>
      <c r="P17" s="36"/>
      <c r="W17" s="56"/>
    </row>
    <row r="18" spans="1:23" x14ac:dyDescent="0.25">
      <c r="A18" s="43" t="s">
        <v>45</v>
      </c>
      <c r="B18" s="54">
        <v>115000</v>
      </c>
      <c r="C18" s="44"/>
      <c r="D18" s="45"/>
      <c r="E18" s="45"/>
      <c r="F18" s="44">
        <f>+B18/(300*6*4)</f>
        <v>15.972222222222221</v>
      </c>
      <c r="G18" s="48">
        <f>+B18/(300*6*4)</f>
        <v>15.972222222222221</v>
      </c>
      <c r="I18" s="28"/>
      <c r="J18" s="57"/>
      <c r="K18" s="58"/>
      <c r="N18" s="58"/>
      <c r="O18" s="36"/>
    </row>
    <row r="19" spans="1:23" x14ac:dyDescent="0.25">
      <c r="A19" s="46" t="s">
        <v>28</v>
      </c>
      <c r="B19" s="55">
        <v>1423500</v>
      </c>
      <c r="C19" s="55">
        <f>+B19*2.5</f>
        <v>3558750</v>
      </c>
      <c r="D19" s="55">
        <f>+C19/30</f>
        <v>118625</v>
      </c>
      <c r="E19" s="55">
        <f>+D19/8</f>
        <v>14828.125</v>
      </c>
      <c r="F19" s="55">
        <f>+E19/180</f>
        <v>82.378472222222229</v>
      </c>
      <c r="G19" s="55">
        <f>+F19</f>
        <v>82.378472222222229</v>
      </c>
      <c r="J19" s="61"/>
      <c r="K19" s="61"/>
      <c r="L19" s="61"/>
      <c r="M19" s="61"/>
      <c r="N19" s="61"/>
      <c r="O19" s="61"/>
    </row>
    <row r="20" spans="1:23" x14ac:dyDescent="0.25">
      <c r="F20" t="s">
        <v>59</v>
      </c>
      <c r="G20" s="2">
        <f>SUM(G3:G19)</f>
        <v>573.39423554033488</v>
      </c>
      <c r="O20" s="2"/>
    </row>
    <row r="21" spans="1:23" x14ac:dyDescent="0.25">
      <c r="F21" t="s">
        <v>58</v>
      </c>
      <c r="G21">
        <f>+G20/(1-0.45)</f>
        <v>1042.5349737096997</v>
      </c>
    </row>
    <row r="22" spans="1:23" x14ac:dyDescent="0.25">
      <c r="F22" t="s">
        <v>51</v>
      </c>
      <c r="G22" s="56">
        <f>+'Costo Fijos'!B5/(G21-G20)</f>
        <v>5669.9403474948531</v>
      </c>
      <c r="O22" s="56"/>
    </row>
    <row r="25" spans="1:23" x14ac:dyDescent="0.25">
      <c r="L25" s="62"/>
    </row>
  </sheetData>
  <mergeCells count="3">
    <mergeCell ref="A1:G1"/>
    <mergeCell ref="I1:O1"/>
    <mergeCell ref="Q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Servicios</vt:lpstr>
      <vt:lpstr>Costo Fijos</vt:lpstr>
      <vt:lpstr>Gastos</vt:lpstr>
      <vt:lpstr>Ingreso</vt:lpstr>
      <vt:lpstr>Balance</vt:lpstr>
      <vt:lpstr>Costo de produccion</vt:lpstr>
      <vt:lpstr>Costo de produccion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rojas</dc:creator>
  <cp:lastModifiedBy>santiago vasquez</cp:lastModifiedBy>
  <dcterms:created xsi:type="dcterms:W3CDTF">2024-03-07T21:34:50Z</dcterms:created>
  <dcterms:modified xsi:type="dcterms:W3CDTF">2025-02-04T22:58:58Z</dcterms:modified>
</cp:coreProperties>
</file>